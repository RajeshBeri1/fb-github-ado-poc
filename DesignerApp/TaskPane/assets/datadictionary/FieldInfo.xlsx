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rc\Omnicom\fct_daily\DesignerApp\TaskPane\assets\datadictionary\"/>
    </mc:Choice>
  </mc:AlternateContent>
  <xr:revisionPtr revIDLastSave="0" documentId="13_ncr:1_{71418463-2449-438D-9D46-AA7CDA280364}" xr6:coauthVersionLast="47" xr6:coauthVersionMax="47" xr10:uidLastSave="{00000000-0000-0000-0000-000000000000}"/>
  <bookViews>
    <workbookView xWindow="34815" yWindow="1680" windowWidth="27075" windowHeight="17910" xr2:uid="{00000000-000D-0000-FFFF-FFFF00000000}"/>
  </bookViews>
  <sheets>
    <sheet name="Tables" sheetId="3" r:id="rId1"/>
    <sheet name="Sheet1" sheetId="4" r:id="rId2"/>
  </sheets>
  <definedNames>
    <definedName name="ExternalData_2" localSheetId="0" hidden="1">Tables!$A$1:$E$212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H208" i="3"/>
  <c r="H207" i="3"/>
  <c r="H205" i="3"/>
  <c r="H204" i="3"/>
  <c r="H203" i="3"/>
  <c r="H200" i="3"/>
  <c r="H199" i="3"/>
  <c r="H198" i="3"/>
  <c r="H197" i="3"/>
  <c r="H196" i="3"/>
  <c r="H195" i="3"/>
  <c r="H194" i="3"/>
  <c r="H193" i="3"/>
  <c r="H189" i="3"/>
  <c r="H188" i="3"/>
  <c r="H180" i="3"/>
  <c r="H177" i="3"/>
  <c r="H175" i="3"/>
  <c r="H174" i="3"/>
  <c r="H173" i="3"/>
  <c r="H172" i="3"/>
  <c r="H170" i="3"/>
  <c r="H167" i="3"/>
  <c r="H166" i="3"/>
  <c r="H165" i="3"/>
  <c r="H164" i="3"/>
  <c r="H162" i="3"/>
  <c r="H161" i="3"/>
  <c r="H156" i="3"/>
  <c r="H155" i="3"/>
  <c r="H144" i="3"/>
  <c r="H143" i="3"/>
  <c r="H141" i="3"/>
  <c r="H140" i="3"/>
  <c r="H127" i="3"/>
  <c r="H126" i="3"/>
  <c r="H125" i="3"/>
  <c r="H124" i="3"/>
  <c r="H118" i="3"/>
  <c r="H117" i="3"/>
  <c r="H116" i="3"/>
  <c r="H115" i="3"/>
  <c r="H114" i="3"/>
  <c r="H113" i="3"/>
  <c r="H111" i="3"/>
  <c r="H106" i="3"/>
  <c r="H104" i="3"/>
  <c r="H103" i="3"/>
  <c r="H97" i="3"/>
  <c r="H96" i="3"/>
  <c r="H87" i="3"/>
  <c r="H86" i="3"/>
  <c r="H80" i="3"/>
  <c r="H79" i="3"/>
  <c r="H78" i="3"/>
  <c r="H77" i="3"/>
  <c r="H74" i="3"/>
  <c r="H73" i="3"/>
  <c r="H72" i="3"/>
  <c r="H71" i="3"/>
  <c r="H70" i="3"/>
  <c r="H69" i="3"/>
  <c r="H68" i="3"/>
  <c r="H67" i="3"/>
  <c r="H66" i="3"/>
  <c r="H65" i="3"/>
  <c r="H64" i="3"/>
  <c r="H39" i="3"/>
  <c r="H38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75" i="3"/>
  <c r="H76" i="3"/>
  <c r="H81" i="3"/>
  <c r="H82" i="3"/>
  <c r="H83" i="3"/>
  <c r="H84" i="3"/>
  <c r="H85" i="3"/>
  <c r="H88" i="3"/>
  <c r="H89" i="3"/>
  <c r="H90" i="3"/>
  <c r="H91" i="3"/>
  <c r="H92" i="3"/>
  <c r="H93" i="3"/>
  <c r="H94" i="3"/>
  <c r="H95" i="3"/>
  <c r="H98" i="3"/>
  <c r="H99" i="3"/>
  <c r="H100" i="3"/>
  <c r="H101" i="3"/>
  <c r="H102" i="3"/>
  <c r="H105" i="3"/>
  <c r="H107" i="3"/>
  <c r="H108" i="3"/>
  <c r="H109" i="3"/>
  <c r="H110" i="3"/>
  <c r="H112" i="3"/>
  <c r="H119" i="3"/>
  <c r="H120" i="3"/>
  <c r="H121" i="3"/>
  <c r="H122" i="3"/>
  <c r="H123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2" i="3"/>
  <c r="H145" i="3"/>
  <c r="H146" i="3"/>
  <c r="H147" i="3"/>
  <c r="H148" i="3"/>
  <c r="H149" i="3"/>
  <c r="H150" i="3"/>
  <c r="H151" i="3"/>
  <c r="H152" i="3"/>
  <c r="H153" i="3"/>
  <c r="H154" i="3"/>
  <c r="H157" i="3"/>
  <c r="H158" i="3"/>
  <c r="H159" i="3"/>
  <c r="H160" i="3"/>
  <c r="H163" i="3"/>
  <c r="H168" i="3"/>
  <c r="H169" i="3"/>
  <c r="H171" i="3"/>
  <c r="H176" i="3"/>
  <c r="H178" i="3"/>
  <c r="H179" i="3"/>
  <c r="H181" i="3"/>
  <c r="H182" i="3"/>
  <c r="H183" i="3"/>
  <c r="H184" i="3"/>
  <c r="H185" i="3"/>
  <c r="H186" i="3"/>
  <c r="H187" i="3"/>
  <c r="H190" i="3"/>
  <c r="H191" i="3"/>
  <c r="H192" i="3"/>
  <c r="H201" i="3"/>
  <c r="H202" i="3"/>
  <c r="H206" i="3"/>
  <c r="H209" i="3"/>
  <c r="H210" i="3"/>
  <c r="H211" i="3"/>
  <c r="H212" i="3"/>
  <c r="B2" i="4"/>
  <c r="B3" i="4"/>
  <c r="B4" i="4"/>
  <c r="B5" i="4"/>
  <c r="B6" i="4"/>
  <c r="B8" i="4"/>
  <c r="B9" i="4"/>
  <c r="B10" i="4"/>
  <c r="B11" i="4"/>
  <c r="B12" i="4"/>
  <c r="B13" i="4"/>
  <c r="B14" i="4"/>
  <c r="B15" i="4"/>
  <c r="B16" i="4"/>
  <c r="B17" i="4"/>
  <c r="B7" i="4"/>
  <c r="B18" i="4"/>
  <c r="B19" i="4"/>
  <c r="B20" i="4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79" i="3"/>
  <c r="F86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38" i="3"/>
  <c r="F39" i="3"/>
  <c r="F64" i="3"/>
  <c r="F65" i="3"/>
  <c r="F66" i="3"/>
  <c r="F67" i="3"/>
  <c r="F68" i="3"/>
  <c r="F69" i="3"/>
  <c r="F70" i="3"/>
  <c r="F71" i="3"/>
  <c r="F72" i="3"/>
  <c r="F75" i="3"/>
  <c r="F76" i="3"/>
  <c r="F73" i="3"/>
  <c r="F74" i="3"/>
  <c r="F77" i="3"/>
  <c r="F78" i="3"/>
  <c r="F81" i="3"/>
  <c r="F82" i="3"/>
  <c r="F83" i="3"/>
  <c r="F84" i="3"/>
  <c r="F85" i="3"/>
  <c r="F80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79" i="3"/>
  <c r="E86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38" i="3"/>
  <c r="E39" i="3"/>
  <c r="E64" i="3"/>
  <c r="E65" i="3"/>
  <c r="E66" i="3"/>
  <c r="E67" i="3"/>
  <c r="E68" i="3"/>
  <c r="E69" i="3"/>
  <c r="E70" i="3"/>
  <c r="E71" i="3"/>
  <c r="E72" i="3"/>
  <c r="E75" i="3"/>
  <c r="E76" i="3"/>
  <c r="E73" i="3"/>
  <c r="E74" i="3"/>
  <c r="E77" i="3"/>
  <c r="E78" i="3"/>
  <c r="E81" i="3"/>
  <c r="E82" i="3"/>
  <c r="E83" i="3"/>
  <c r="E84" i="3"/>
  <c r="E85" i="3"/>
  <c r="E80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C20A98-0AC5-4FAB-8B42-204B57D1A435}" keepAlive="1" name="Query - response_1675388637777" description="Connection to the 'response_1675388637777' query in the workbook." type="5" refreshedVersion="0" background="1">
    <dbPr connection="Provider=Microsoft.Mashup.OleDb.1;Data Source=$Workbook$;Location=response_1675388637777;Extended Properties=&quot;&quot;" command="SELECT * FROM [response_1675388637777]"/>
  </connection>
  <connection id="2" xr16:uid="{86466085-FD49-4C2E-B1B3-C85D3859F77F}" keepAlive="1" name="Query - Tables" description="Connection to the 'Tables' query in the workbook." type="5" refreshedVersion="8" background="1" saveData="1">
    <dbPr connection="Provider=Microsoft.Mashup.OleDb.1;Data Source=$Workbook$;Location=Tables;Extended Properties=&quot;&quot;" command="SELECT * FROM [Tables]"/>
  </connection>
</connections>
</file>

<file path=xl/sharedStrings.xml><?xml version="1.0" encoding="utf-8"?>
<sst xmlns="http://schemas.openxmlformats.org/spreadsheetml/2006/main" count="964" uniqueCount="240">
  <si>
    <t>campaign</t>
  </si>
  <si>
    <t>6f2ce863-ece8-442c-b5fb-bd59075914a9</t>
  </si>
  <si>
    <t>TableId</t>
  </si>
  <si>
    <t>TableName</t>
  </si>
  <si>
    <t>ColumnName</t>
  </si>
  <si>
    <t>ColumnType</t>
  </si>
  <si>
    <t>IsMetric</t>
  </si>
  <si>
    <t>filename</t>
  </si>
  <si>
    <t>String</t>
  </si>
  <si>
    <t>clientyear</t>
  </si>
  <si>
    <t>budgetyear</t>
  </si>
  <si>
    <t>region</t>
  </si>
  <si>
    <t>country</t>
  </si>
  <si>
    <t>brand3</t>
  </si>
  <si>
    <t>brand2</t>
  </si>
  <si>
    <t>local_currency_name</t>
  </si>
  <si>
    <t>scenario_name</t>
  </si>
  <si>
    <t>templatetype</t>
  </si>
  <si>
    <t>sysactive</t>
  </si>
  <si>
    <t>groupingtype</t>
  </si>
  <si>
    <t>brand1</t>
  </si>
  <si>
    <t>campaignname</t>
  </si>
  <si>
    <t>clientid</t>
  </si>
  <si>
    <t>productid</t>
  </si>
  <si>
    <t>campaignobjective</t>
  </si>
  <si>
    <t>campaignflighting</t>
  </si>
  <si>
    <t>campaignscope</t>
  </si>
  <si>
    <t>campaignperiod</t>
  </si>
  <si>
    <t>campaignstart</t>
  </si>
  <si>
    <t>Date</t>
  </si>
  <si>
    <t>campaignend</t>
  </si>
  <si>
    <t>cid</t>
  </si>
  <si>
    <t>omnicampaign</t>
  </si>
  <si>
    <t>tempid</t>
  </si>
  <si>
    <t>system_campaignid</t>
  </si>
  <si>
    <t>mediaauthstring</t>
  </si>
  <si>
    <t>data_state</t>
  </si>
  <si>
    <t>client_name</t>
  </si>
  <si>
    <t>source</t>
  </si>
  <si>
    <t>f0867476-5d91-4fbf-8ebf-c5308309f4ea</t>
  </si>
  <si>
    <t>media_plans</t>
  </si>
  <si>
    <t>plantype</t>
  </si>
  <si>
    <t>Channel</t>
  </si>
  <si>
    <t>channel</t>
  </si>
  <si>
    <t>subchannel</t>
  </si>
  <si>
    <t>buymethod</t>
  </si>
  <si>
    <t>briefdetail</t>
  </si>
  <si>
    <t>mygrid_flightstartdate</t>
  </si>
  <si>
    <t>mygrid_flightenddate</t>
  </si>
  <si>
    <t>briefedctc</t>
  </si>
  <si>
    <t>Decimal</t>
  </si>
  <si>
    <t>briefedctc_local</t>
  </si>
  <si>
    <t>localchannel</t>
  </si>
  <si>
    <t>channeltype</t>
  </si>
  <si>
    <t>channelsubtype</t>
  </si>
  <si>
    <t>mediatype1</t>
  </si>
  <si>
    <t>predictivetrigger</t>
  </si>
  <si>
    <t>mediaauthheader</t>
  </si>
  <si>
    <t>brand4</t>
  </si>
  <si>
    <t>brand5</t>
  </si>
  <si>
    <t>brand6</t>
  </si>
  <si>
    <t>mediatype2</t>
  </si>
  <si>
    <t>mediatype3</t>
  </si>
  <si>
    <t>mediatype4</t>
  </si>
  <si>
    <t>buysystemfilter</t>
  </si>
  <si>
    <t>system_mediaplanid</t>
  </si>
  <si>
    <t>effective_date</t>
  </si>
  <si>
    <t>omniguid</t>
  </si>
  <si>
    <t>mygrid_channel</t>
  </si>
  <si>
    <t>mixtypeid</t>
  </si>
  <si>
    <t>LongInteger</t>
  </si>
  <si>
    <t>matchtype</t>
  </si>
  <si>
    <t>installation</t>
  </si>
  <si>
    <t>installation_local</t>
  </si>
  <si>
    <t>buyingplatform</t>
  </si>
  <si>
    <t>suppliertaxonomy</t>
  </si>
  <si>
    <t>Supplier</t>
  </si>
  <si>
    <t>supplierfreetext</t>
  </si>
  <si>
    <t>suppliertype</t>
  </si>
  <si>
    <t>inventorytype</t>
  </si>
  <si>
    <t>marketclass</t>
  </si>
  <si>
    <t>marketname</t>
  </si>
  <si>
    <t>marketmix</t>
  </si>
  <si>
    <t>objective</t>
  </si>
  <si>
    <t>objectivemix</t>
  </si>
  <si>
    <t>mediaformat</t>
  </si>
  <si>
    <t>formatmix</t>
  </si>
  <si>
    <t>adsize</t>
  </si>
  <si>
    <t>adsizemix</t>
  </si>
  <si>
    <t>demo</t>
  </si>
  <si>
    <t>audience</t>
  </si>
  <si>
    <t>targeting</t>
  </si>
  <si>
    <t>buytype</t>
  </si>
  <si>
    <t>itemdescription</t>
  </si>
  <si>
    <t>flightstart</t>
  </si>
  <si>
    <t>flightend</t>
  </si>
  <si>
    <t>Vehicle</t>
  </si>
  <si>
    <t>vehicle</t>
  </si>
  <si>
    <t>Impressions</t>
  </si>
  <si>
    <t>impressions</t>
  </si>
  <si>
    <t>planstatus</t>
  </si>
  <si>
    <t>netmedia</t>
  </si>
  <si>
    <t>netmedia_local</t>
  </si>
  <si>
    <t>adserving</t>
  </si>
  <si>
    <t>adserving_local</t>
  </si>
  <si>
    <t>adverificationcost</t>
  </si>
  <si>
    <t>adverificationcost_local</t>
  </si>
  <si>
    <t>othercost</t>
  </si>
  <si>
    <t>othercost_local</t>
  </si>
  <si>
    <t>actuals</t>
  </si>
  <si>
    <t>actuals_local</t>
  </si>
  <si>
    <t>Production</t>
  </si>
  <si>
    <t>production</t>
  </si>
  <si>
    <t>production_local</t>
  </si>
  <si>
    <t>addedvalue</t>
  </si>
  <si>
    <t>addedvalue_local</t>
  </si>
  <si>
    <t>totalfees</t>
  </si>
  <si>
    <t>totalfees_local</t>
  </si>
  <si>
    <t>Commission</t>
  </si>
  <si>
    <t>commission</t>
  </si>
  <si>
    <t>commission_local</t>
  </si>
  <si>
    <t>mediaops</t>
  </si>
  <si>
    <t>mediaops_local</t>
  </si>
  <si>
    <t>pretaxtotal</t>
  </si>
  <si>
    <t>pretaxtotal_local</t>
  </si>
  <si>
    <t>localtax1</t>
  </si>
  <si>
    <t>localtax1_local</t>
  </si>
  <si>
    <t>localtax2</t>
  </si>
  <si>
    <t>localtax2_local</t>
  </si>
  <si>
    <t>medialevycost</t>
  </si>
  <si>
    <t>medialevycost_local</t>
  </si>
  <si>
    <t>asbof</t>
  </si>
  <si>
    <t>asbof_local</t>
  </si>
  <si>
    <t>vat</t>
  </si>
  <si>
    <t>vat_local</t>
  </si>
  <si>
    <t>dst</t>
  </si>
  <si>
    <t>dst_local</t>
  </si>
  <si>
    <t>totaltax</t>
  </si>
  <si>
    <t>totaltax_local</t>
  </si>
  <si>
    <t>plannednetmedia</t>
  </si>
  <si>
    <t>plannednetmedia_local</t>
  </si>
  <si>
    <t>actualnetmedia</t>
  </si>
  <si>
    <t>actualnetmedia_local</t>
  </si>
  <si>
    <t>totalnet</t>
  </si>
  <si>
    <t>totalnet_local</t>
  </si>
  <si>
    <t>plannedctc</t>
  </si>
  <si>
    <t>plannedctc_local</t>
  </si>
  <si>
    <t>actualctc</t>
  </si>
  <si>
    <t>actualctc_local</t>
  </si>
  <si>
    <t>totalclient</t>
  </si>
  <si>
    <t>totalclient_local</t>
  </si>
  <si>
    <t>daypartid</t>
  </si>
  <si>
    <t>marketid</t>
  </si>
  <si>
    <t>unitid</t>
  </si>
  <si>
    <t>democode</t>
  </si>
  <si>
    <t>msrsupplier</t>
  </si>
  <si>
    <t>placement</t>
  </si>
  <si>
    <t>clientmonth</t>
  </si>
  <si>
    <t>saleshouse</t>
  </si>
  <si>
    <t>station</t>
  </si>
  <si>
    <t>daypart</t>
  </si>
  <si>
    <t>medianame</t>
  </si>
  <si>
    <t>week_text</t>
  </si>
  <si>
    <t>GRPs</t>
  </si>
  <si>
    <t>grps</t>
  </si>
  <si>
    <t>tacticalctc</t>
  </si>
  <si>
    <t>tacticalctc_local</t>
  </si>
  <si>
    <t>mediaid</t>
  </si>
  <si>
    <t>Ethnicity</t>
  </si>
  <si>
    <t>ethnicity</t>
  </si>
  <si>
    <t>population</t>
  </si>
  <si>
    <t>month_text</t>
  </si>
  <si>
    <t>unitrate</t>
  </si>
  <si>
    <t>unitrate_local</t>
  </si>
  <si>
    <t>spots</t>
  </si>
  <si>
    <t>eqgrps</t>
  </si>
  <si>
    <t>grossmedia</t>
  </si>
  <si>
    <t>grossmedia_local</t>
  </si>
  <si>
    <t>estimateid</t>
  </si>
  <si>
    <t>Units</t>
  </si>
  <si>
    <t>units</t>
  </si>
  <si>
    <t>titletaxonomy</t>
  </si>
  <si>
    <t>titlefreetext</t>
  </si>
  <si>
    <t>unitsize</t>
  </si>
  <si>
    <t>unitmix</t>
  </si>
  <si>
    <t>issuedate</t>
  </si>
  <si>
    <t>onsaledate</t>
  </si>
  <si>
    <t>spaceclose</t>
  </si>
  <si>
    <t>materialclose</t>
  </si>
  <si>
    <t>vendortaxonomy</t>
  </si>
  <si>
    <t>vendorfreetext</t>
  </si>
  <si>
    <t>location</t>
  </si>
  <si>
    <t>specs</t>
  </si>
  <si>
    <t>latitude</t>
  </si>
  <si>
    <t>longitude</t>
  </si>
  <si>
    <t>footfalls</t>
  </si>
  <si>
    <t>screens</t>
  </si>
  <si>
    <t>admissions</t>
  </si>
  <si>
    <t>media_brief_id</t>
  </si>
  <si>
    <t>3e185d41-9e21-44dc-9532-cd4bda1b5a0d</t>
  </si>
  <si>
    <t>media_briefs</t>
  </si>
  <si>
    <t>IsCurrency</t>
  </si>
  <si>
    <t>IsCommon</t>
  </si>
  <si>
    <t>Brand1</t>
  </si>
  <si>
    <t>Brand2</t>
  </si>
  <si>
    <t>Brand3</t>
  </si>
  <si>
    <t>Campaign</t>
  </si>
  <si>
    <t>CampaignName</t>
  </si>
  <si>
    <t>ChannelSubType</t>
  </si>
  <si>
    <t>ChannelType</t>
  </si>
  <si>
    <t>FundingSource</t>
  </si>
  <si>
    <t>Funnel</t>
  </si>
  <si>
    <t>LocalChannel</t>
  </si>
  <si>
    <t>MarketName</t>
  </si>
  <si>
    <t>PlanStatus</t>
  </si>
  <si>
    <t>PO</t>
  </si>
  <si>
    <t>CampaignScope</t>
  </si>
  <si>
    <t>SubChannel</t>
  </si>
  <si>
    <t>CommonFields</t>
  </si>
  <si>
    <t>AddedValue</t>
  </si>
  <si>
    <t>AdServing</t>
  </si>
  <si>
    <t>CreativeCost</t>
  </si>
  <si>
    <t>EqGRPs</t>
  </si>
  <si>
    <t>FrequencyFloat</t>
  </si>
  <si>
    <t>GrossMedia</t>
  </si>
  <si>
    <t>MediaLevyCost</t>
  </si>
  <si>
    <t>NetMedia</t>
  </si>
  <si>
    <t>NonWorkingSpend</t>
  </si>
  <si>
    <t>ReachFloat</t>
  </si>
  <si>
    <t>TotalClient</t>
  </si>
  <si>
    <t>TotalFees</t>
  </si>
  <si>
    <t>TotalTax</t>
  </si>
  <si>
    <t>TRPs</t>
  </si>
  <si>
    <t>ViewableImpressions</t>
  </si>
  <si>
    <t>WorkingSpend</t>
  </si>
  <si>
    <t>CommonMetrics</t>
  </si>
  <si>
    <t>Metrics</t>
  </si>
  <si>
    <t>TechnicalName</t>
  </si>
  <si>
    <t>IsCommonMetric</t>
  </si>
  <si>
    <t>IsCommonField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</si>
</sst>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 style="thin">
        <color rgb="FF8EA9DB"/>
      </left>
      <right/>
      <top style="thin">
        <color rgb="FF8EA9DB"/>
      </top>
      <bottom/>
      <diagonal/>
    </border>
    <border>
      <left style="thin">
        <color rgb="FF8EA9DB"/>
      </left>
      <right/>
      <top/>
      <bottom style="thin">
        <color rgb="FF8EA9D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0" xfId="0" applyFont="1" applyFill="1" applyBorder="1"/>
    <xf numFmtId="0" fontId="18" fillId="0" borderId="12" xfId="0" applyFont="1" applyFill="1" applyBorder="1"/>
    <xf numFmtId="0" fontId="18" fillId="0" borderId="11" xfId="0" applyFont="1" applyFill="1" applyBorder="1"/>
    <xf numFmtId="0" fontId="0" fillId="0" borderId="0" xfId="0" applyFill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fill>
        <patternFill patternType="none">
          <fgColor rgb="FF000000"/>
          <bgColor auto="1"/>
        </patternFill>
      </fill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  <border diagonalUp="0" diagonalDown="0" outline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  <border diagonalUp="0" diagonalDown="0" outline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border outline="0"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rgb="FF000000"/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C6E5EC7-D461-4826-96A7-653BAB16F018}" autoFormatId="16" applyNumberFormats="0" applyBorderFormats="0" applyFontFormats="0" applyPatternFormats="0" applyAlignmentFormats="0" applyWidthHeightFormats="0">
  <queryTableRefresh nextId="12" unboundColumnsRight="4">
    <queryTableFields count="9">
      <queryTableField id="1" name="TableId" tableColumnId="1"/>
      <queryTableField id="2" name="TableName" tableColumnId="2"/>
      <queryTableField id="4" name="ColumnName" tableColumnId="4"/>
      <queryTableField id="5" name="ColumnType" tableColumnId="5"/>
      <queryTableField id="7" name="IsMetric" tableColumnId="7"/>
      <queryTableField id="8" dataBound="0" tableColumnId="8"/>
      <queryTableField id="9" dataBound="0" tableColumnId="9"/>
      <queryTableField id="10" dataBound="0" tableColumnId="3"/>
      <queryTableField id="11" dataBound="0" tableColumnId="6"/>
    </queryTableFields>
    <queryTableDeletedFields count="2">
      <deletedField name="ColumnDisplayName"/>
      <deletedField name="IsRemove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DDE800-58B2-46D9-922E-52DA0110ACAD}" name="Tables" displayName="Tables" ref="A1:I212" tableType="queryTable" totalsRowShown="0">
  <autoFilter ref="A1:I212" xr:uid="{D6DDE800-58B2-46D9-922E-52DA0110ACAD}"/>
  <sortState xmlns:xlrd2="http://schemas.microsoft.com/office/spreadsheetml/2017/richdata2" ref="A38:I208">
    <sortCondition ref="D1:D212"/>
  </sortState>
  <tableColumns count="9">
    <tableColumn id="1" xr3:uid="{1E53ED78-52BF-4496-8BCA-AFE64AAF6867}" uniqueName="1" name="TableId" queryTableFieldId="1"/>
    <tableColumn id="2" xr3:uid="{2BEE5F1A-D24E-4561-8447-B161A286A138}" uniqueName="2" name="TableName" queryTableFieldId="2"/>
    <tableColumn id="4" xr3:uid="{CA542F46-570D-401A-B08A-95380E510FDE}" uniqueName="4" name="ColumnName" queryTableFieldId="4"/>
    <tableColumn id="5" xr3:uid="{D12093A8-AA23-4BE5-B2FA-3909AA1FE987}" uniqueName="5" name="ColumnType" queryTableFieldId="5"/>
    <tableColumn id="7" xr3:uid="{F3A5A241-5543-4DAB-AA23-31CFD9B04D70}" uniqueName="7" name="IsMetric" queryTableFieldId="7"/>
    <tableColumn id="8" xr3:uid="{AEA966EA-BAC0-434B-93EF-16F9DCDDAEEC}" uniqueName="8" name="IsCurrency" queryTableFieldId="8" dataDxfId="13">
      <calculatedColumnFormula>VLOOKUP(Tables[[#This Row],[ColumnName]],Table5[#All],2)</calculatedColumnFormula>
    </tableColumn>
    <tableColumn id="9" xr3:uid="{141BB91C-92C9-443C-92C2-018A3A130E14}" uniqueName="9" name="IsCommon" queryTableFieldId="9" dataDxfId="0">
      <calculatedColumnFormula>IF(OR(Tables[IsCommonMetric]=TRUE,Tables[IsCommonField]=TRUE),TRUE,FALSE)</calculatedColumnFormula>
    </tableColumn>
    <tableColumn id="3" xr3:uid="{A647DA11-6341-49E4-8242-69EB250508FA}" uniqueName="3" name="IsCommonMetric" queryTableFieldId="10" dataDxfId="2">
      <calculatedColumnFormula>IF(VLOOKUP(Tables[[#This Row],[ColumnName]],Table4[TechnicalName],1)=Tables[[#This Row],[ColumnName]],TRUE,FALSE)</calculatedColumnFormula>
    </tableColumn>
    <tableColumn id="6" xr3:uid="{C7CD4FF5-0F8A-4927-9794-0C9A2831C1C2}" uniqueName="6" name="IsCommonField" queryTableFieldId="11" dataDxfId="1">
      <calculatedColumnFormula>IF(IF(ISERROR(VLOOKUP(Tables[[#This Row],[ColumnName]],Table3[TechnicalName],1)),"NOTFOUND",VLOOKUP(Tables[[#This Row],[ColumnName]],Table3[TechnicalName],1))=Tables[[#This Row],[ColumnName]],TRUE,FALSE)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C43822-065B-42D6-93EA-D91F4AC65A12}" name="Table3" displayName="Table3" ref="A1:B20" totalsRowShown="0" headerRowDxfId="12" dataDxfId="11" tableBorderDxfId="10">
  <autoFilter ref="A1:B20" xr:uid="{4DC43822-065B-42D6-93EA-D91F4AC65A12}"/>
  <sortState xmlns:xlrd2="http://schemas.microsoft.com/office/spreadsheetml/2017/richdata2" ref="A2:B20">
    <sortCondition ref="B1:B20"/>
  </sortState>
  <tableColumns count="2">
    <tableColumn id="1" xr3:uid="{EA8AF61A-D815-4C93-AC74-EC94B97222A0}" name="CommonFields" dataDxfId="9"/>
    <tableColumn id="2" xr3:uid="{97039FBF-672B-4F87-BB1D-C586E0745404}" name="TechnicalName" dataDxfId="3">
      <calculatedColumnFormula>LOWER(Table3[[#This Row],[CommonFields]])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6529F8-2A53-481D-89C7-A9CB300CA6B7}" name="Table4" displayName="Table4" ref="D1:E22" totalsRowShown="0" headerRowDxfId="8" dataDxfId="7" tableBorderDxfId="6">
  <autoFilter ref="D1:E22" xr:uid="{496529F8-2A53-481D-89C7-A9CB300CA6B7}"/>
  <sortState xmlns:xlrd2="http://schemas.microsoft.com/office/spreadsheetml/2017/richdata2" ref="D2:E22">
    <sortCondition ref="E1:E22"/>
  </sortState>
  <tableColumns count="2">
    <tableColumn id="1" xr3:uid="{87B95F49-D7C1-416B-9896-338B5611626F}" name="CommonMetrics" dataDxfId="5"/>
    <tableColumn id="3" xr3:uid="{625BC7D3-DF34-4F78-85E4-4103690B373D}" name="TechnicalName" dataDxfId="4">
      <calculatedColumnFormula>LOWER(Table4[[#This Row],[CommonMetrics]])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5B80762-A70A-43CE-914B-F1315A430ABF}" name="Table5" displayName="Table5" ref="G1:H66" totalsRowShown="0">
  <autoFilter ref="G1:H66" xr:uid="{95B80762-A70A-43CE-914B-F1315A430ABF}"/>
  <sortState xmlns:xlrd2="http://schemas.microsoft.com/office/spreadsheetml/2017/richdata2" ref="G2:H66">
    <sortCondition ref="G1:G66"/>
  </sortState>
  <tableColumns count="2">
    <tableColumn id="1" xr3:uid="{D0942E24-308B-4FBB-B58B-8974DD3790AD}" name="Metrics"/>
    <tableColumn id="2" xr3:uid="{01391F27-4A89-4A13-8A4D-E16C94474C43}" name="Is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" visibility="1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a8fb5f-050f-46e5-a5b4-337a11995841}">
  <we:reference id="89a8fb5f-050f-46e5-a5b4-337a11995841" version="1.0.0.4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25C6-5CE0-4955-B1AD-86AD2C062B09}">
  <dimension ref="A1:I212"/>
  <sheetViews>
    <sheetView tabSelected="1" workbookViewId="0">
      <selection activeCell="H1" sqref="H1:I1048576"/>
    </sheetView>
  </sheetViews>
  <sheetFormatPr defaultRowHeight="15" x14ac:dyDescent="0.25"/>
  <cols>
    <col min="1" max="1" width="37.7109375" bestFit="1" customWidth="1"/>
    <col min="2" max="2" width="13.42578125" bestFit="1" customWidth="1"/>
    <col min="3" max="3" width="22.42578125" bestFit="1" customWidth="1"/>
    <col min="4" max="4" width="14.42578125" bestFit="1" customWidth="1"/>
    <col min="5" max="5" width="10.5703125" bestFit="1" customWidth="1"/>
    <col min="6" max="6" width="12.5703125" bestFit="1" customWidth="1"/>
    <col min="7" max="7" width="12.7109375" bestFit="1" customWidth="1"/>
    <col min="8" max="8" width="18.7109375" bestFit="1" customWidth="1"/>
    <col min="9" max="9" width="17.2851562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201</v>
      </c>
      <c r="G1" t="s">
        <v>202</v>
      </c>
      <c r="H1" t="s">
        <v>238</v>
      </c>
      <c r="I1" t="s">
        <v>239</v>
      </c>
    </row>
    <row r="2" spans="1:9" x14ac:dyDescent="0.25">
      <c r="A2" t="s">
        <v>1</v>
      </c>
      <c r="B2" t="s">
        <v>0</v>
      </c>
      <c r="C2" t="s">
        <v>7</v>
      </c>
      <c r="D2" t="s">
        <v>8</v>
      </c>
      <c r="E2" t="b">
        <f>IF(Tables[[#This Row],[ColumnType]]="Decimal",TRUE,FALSE)</f>
        <v>0</v>
      </c>
      <c r="F2" t="b">
        <f>VLOOKUP(Tables[[#This Row],[ColumnName]],Table5[#All],2)</f>
        <v>0</v>
      </c>
      <c r="G2" t="b">
        <f>IF(OR(Tables[IsCommonMetric]=TRUE,Tables[IsCommonField]=TRUE),TRUE,FALSE)</f>
        <v>0</v>
      </c>
      <c r="H2" t="b">
        <f>IF(VLOOKUP(Tables[[#This Row],[ColumnName]],Table4[TechnicalName],1)=Tables[[#This Row],[ColumnName]],TRUE,FALSE)</f>
        <v>0</v>
      </c>
      <c r="I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" spans="1:9" x14ac:dyDescent="0.25">
      <c r="A3" t="s">
        <v>1</v>
      </c>
      <c r="B3" t="s">
        <v>0</v>
      </c>
      <c r="C3" t="s">
        <v>20</v>
      </c>
      <c r="D3" t="s">
        <v>8</v>
      </c>
      <c r="E3" t="b">
        <f>IF(Tables[[#This Row],[ColumnType]]="Decimal",TRUE,FALSE)</f>
        <v>0</v>
      </c>
      <c r="F3" t="b">
        <f>VLOOKUP(Tables[[#This Row],[ColumnName]],Table5[#All],2)</f>
        <v>1</v>
      </c>
      <c r="G3" t="b">
        <f>IF(OR(Tables[IsCommonMetric]=TRUE,Tables[IsCommonField]=TRUE),TRUE,FALSE)</f>
        <v>1</v>
      </c>
      <c r="H3" t="b">
        <f>IF(VLOOKUP(Tables[[#This Row],[ColumnName]],Table4[TechnicalName],1)=Tables[[#This Row],[ColumnName]],TRUE,FALSE)</f>
        <v>0</v>
      </c>
      <c r="I3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4" spans="1:9" x14ac:dyDescent="0.25">
      <c r="A4" t="s">
        <v>1</v>
      </c>
      <c r="B4" t="s">
        <v>0</v>
      </c>
      <c r="C4" t="s">
        <v>14</v>
      </c>
      <c r="D4" t="s">
        <v>8</v>
      </c>
      <c r="E4" t="b">
        <f>IF(Tables[[#This Row],[ColumnType]]="Decimal",TRUE,FALSE)</f>
        <v>0</v>
      </c>
      <c r="F4" t="b">
        <f>VLOOKUP(Tables[[#This Row],[ColumnName]],Table5[#All],2)</f>
        <v>1</v>
      </c>
      <c r="G4" t="b">
        <f>IF(OR(Tables[IsCommonMetric]=TRUE,Tables[IsCommonField]=TRUE),TRUE,FALSE)</f>
        <v>1</v>
      </c>
      <c r="H4" t="b">
        <f>IF(VLOOKUP(Tables[[#This Row],[ColumnName]],Table4[TechnicalName],1)=Tables[[#This Row],[ColumnName]],TRUE,FALSE)</f>
        <v>0</v>
      </c>
      <c r="I4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5" spans="1:9" x14ac:dyDescent="0.25">
      <c r="A5" t="s">
        <v>1</v>
      </c>
      <c r="B5" t="s">
        <v>0</v>
      </c>
      <c r="C5" t="s">
        <v>13</v>
      </c>
      <c r="D5" t="s">
        <v>8</v>
      </c>
      <c r="E5" t="b">
        <f>IF(Tables[[#This Row],[ColumnType]]="Decimal",TRUE,FALSE)</f>
        <v>0</v>
      </c>
      <c r="F5" t="b">
        <f>VLOOKUP(Tables[[#This Row],[ColumnName]],Table5[#All],2)</f>
        <v>1</v>
      </c>
      <c r="G5" t="b">
        <f>IF(OR(Tables[IsCommonMetric]=TRUE,Tables[IsCommonField]=TRUE),TRUE,FALSE)</f>
        <v>1</v>
      </c>
      <c r="H5" t="b">
        <f>IF(VLOOKUP(Tables[[#This Row],[ColumnName]],Table4[TechnicalName],1)=Tables[[#This Row],[ColumnName]],TRUE,FALSE)</f>
        <v>0</v>
      </c>
      <c r="I5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6" spans="1:9" x14ac:dyDescent="0.25">
      <c r="A6" t="s">
        <v>1</v>
      </c>
      <c r="B6" t="s">
        <v>0</v>
      </c>
      <c r="C6" t="s">
        <v>10</v>
      </c>
      <c r="D6" t="s">
        <v>8</v>
      </c>
      <c r="E6" t="b">
        <f>IF(Tables[[#This Row],[ColumnType]]="Decimal",TRUE,FALSE)</f>
        <v>0</v>
      </c>
      <c r="F6" t="b">
        <f>VLOOKUP(Tables[[#This Row],[ColumnName]],Table5[#All],2)</f>
        <v>1</v>
      </c>
      <c r="G6" t="b">
        <f>IF(OR(Tables[IsCommonMetric]=TRUE,Tables[IsCommonField]=TRUE),TRUE,FALSE)</f>
        <v>0</v>
      </c>
      <c r="H6" t="b">
        <f>IF(VLOOKUP(Tables[[#This Row],[ColumnName]],Table4[TechnicalName],1)=Tables[[#This Row],[ColumnName]],TRUE,FALSE)</f>
        <v>0</v>
      </c>
      <c r="I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" spans="1:9" x14ac:dyDescent="0.25">
      <c r="A7" t="s">
        <v>1</v>
      </c>
      <c r="B7" t="s">
        <v>0</v>
      </c>
      <c r="C7" t="s">
        <v>0</v>
      </c>
      <c r="D7" t="s">
        <v>8</v>
      </c>
      <c r="E7" t="b">
        <f>IF(Tables[[#This Row],[ColumnType]]="Decimal",TRUE,FALSE)</f>
        <v>0</v>
      </c>
      <c r="F7" t="b">
        <f>VLOOKUP(Tables[[#This Row],[ColumnName]],Table5[#All],2)</f>
        <v>1</v>
      </c>
      <c r="G7" t="b">
        <f>IF(OR(Tables[IsCommonMetric]=TRUE,Tables[IsCommonField]=TRUE),TRUE,FALSE)</f>
        <v>1</v>
      </c>
      <c r="H7" t="b">
        <f>IF(VLOOKUP(Tables[[#This Row],[ColumnName]],Table4[TechnicalName],1)=Tables[[#This Row],[ColumnName]],TRUE,FALSE)</f>
        <v>0</v>
      </c>
      <c r="I7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8" spans="1:9" x14ac:dyDescent="0.25">
      <c r="A8" t="s">
        <v>1</v>
      </c>
      <c r="B8" t="s">
        <v>0</v>
      </c>
      <c r="C8" t="s">
        <v>30</v>
      </c>
      <c r="D8" t="s">
        <v>29</v>
      </c>
      <c r="E8" t="b">
        <f>IF(Tables[[#This Row],[ColumnType]]="Decimal",TRUE,FALSE)</f>
        <v>0</v>
      </c>
      <c r="F8" t="b">
        <f>VLOOKUP(Tables[[#This Row],[ColumnName]],Table5[#All],2)</f>
        <v>1</v>
      </c>
      <c r="G8" t="b">
        <f>IF(OR(Tables[IsCommonMetric]=TRUE,Tables[IsCommonField]=TRUE),TRUE,FALSE)</f>
        <v>0</v>
      </c>
      <c r="H8" t="b">
        <f>IF(VLOOKUP(Tables[[#This Row],[ColumnName]],Table4[TechnicalName],1)=Tables[[#This Row],[ColumnName]],TRUE,FALSE)</f>
        <v>0</v>
      </c>
      <c r="I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" spans="1:9" x14ac:dyDescent="0.25">
      <c r="A9" t="s">
        <v>1</v>
      </c>
      <c r="B9" t="s">
        <v>0</v>
      </c>
      <c r="C9" t="s">
        <v>25</v>
      </c>
      <c r="D9" t="s">
        <v>8</v>
      </c>
      <c r="E9" t="b">
        <f>IF(Tables[[#This Row],[ColumnType]]="Decimal",TRUE,FALSE)</f>
        <v>0</v>
      </c>
      <c r="F9" t="b">
        <f>VLOOKUP(Tables[[#This Row],[ColumnName]],Table5[#All],2)</f>
        <v>1</v>
      </c>
      <c r="G9" t="b">
        <f>IF(OR(Tables[IsCommonMetric]=TRUE,Tables[IsCommonField]=TRUE),TRUE,FALSE)</f>
        <v>0</v>
      </c>
      <c r="H9" t="b">
        <f>IF(VLOOKUP(Tables[[#This Row],[ColumnName]],Table4[TechnicalName],1)=Tables[[#This Row],[ColumnName]],TRUE,FALSE)</f>
        <v>0</v>
      </c>
      <c r="I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" spans="1:9" x14ac:dyDescent="0.25">
      <c r="A10" t="s">
        <v>1</v>
      </c>
      <c r="B10" t="s">
        <v>0</v>
      </c>
      <c r="C10" t="s">
        <v>21</v>
      </c>
      <c r="D10" t="s">
        <v>8</v>
      </c>
      <c r="E10" t="b">
        <f>IF(Tables[[#This Row],[ColumnType]]="Decimal",TRUE,FALSE)</f>
        <v>0</v>
      </c>
      <c r="F10" t="b">
        <f>VLOOKUP(Tables[[#This Row],[ColumnName]],Table5[#All],2)</f>
        <v>1</v>
      </c>
      <c r="G10" t="b">
        <f>IF(OR(Tables[IsCommonMetric]=TRUE,Tables[IsCommonField]=TRUE),TRUE,FALSE)</f>
        <v>1</v>
      </c>
      <c r="H10" t="b">
        <f>IF(VLOOKUP(Tables[[#This Row],[ColumnName]],Table4[TechnicalName],1)=Tables[[#This Row],[ColumnName]],TRUE,FALSE)</f>
        <v>0</v>
      </c>
      <c r="I10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11" spans="1:9" x14ac:dyDescent="0.25">
      <c r="A11" t="s">
        <v>1</v>
      </c>
      <c r="B11" t="s">
        <v>0</v>
      </c>
      <c r="C11" t="s">
        <v>24</v>
      </c>
      <c r="D11" t="s">
        <v>8</v>
      </c>
      <c r="E11" t="b">
        <f>IF(Tables[[#This Row],[ColumnType]]="Decimal",TRUE,FALSE)</f>
        <v>0</v>
      </c>
      <c r="F11" t="b">
        <f>VLOOKUP(Tables[[#This Row],[ColumnName]],Table5[#All],2)</f>
        <v>1</v>
      </c>
      <c r="G11" t="b">
        <f>IF(OR(Tables[IsCommonMetric]=TRUE,Tables[IsCommonField]=TRUE),TRUE,FALSE)</f>
        <v>0</v>
      </c>
      <c r="H11" t="b">
        <f>IF(VLOOKUP(Tables[[#This Row],[ColumnName]],Table4[TechnicalName],1)=Tables[[#This Row],[ColumnName]],TRUE,FALSE)</f>
        <v>0</v>
      </c>
      <c r="I1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" spans="1:9" x14ac:dyDescent="0.25">
      <c r="A12" t="s">
        <v>1</v>
      </c>
      <c r="B12" t="s">
        <v>0</v>
      </c>
      <c r="C12" t="s">
        <v>27</v>
      </c>
      <c r="D12" t="s">
        <v>8</v>
      </c>
      <c r="E12" t="b">
        <f>IF(Tables[[#This Row],[ColumnType]]="Decimal",TRUE,FALSE)</f>
        <v>0</v>
      </c>
      <c r="F12" t="b">
        <f>VLOOKUP(Tables[[#This Row],[ColumnName]],Table5[#All],2)</f>
        <v>1</v>
      </c>
      <c r="G12" t="b">
        <f>IF(OR(Tables[IsCommonMetric]=TRUE,Tables[IsCommonField]=TRUE),TRUE,FALSE)</f>
        <v>0</v>
      </c>
      <c r="H12" t="b">
        <f>IF(VLOOKUP(Tables[[#This Row],[ColumnName]],Table4[TechnicalName],1)=Tables[[#This Row],[ColumnName]],TRUE,FALSE)</f>
        <v>0</v>
      </c>
      <c r="I1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" spans="1:9" x14ac:dyDescent="0.25">
      <c r="A13" t="s">
        <v>1</v>
      </c>
      <c r="B13" t="s">
        <v>0</v>
      </c>
      <c r="C13" t="s">
        <v>26</v>
      </c>
      <c r="D13" t="s">
        <v>8</v>
      </c>
      <c r="E13" t="b">
        <f>IF(Tables[[#This Row],[ColumnType]]="Decimal",TRUE,FALSE)</f>
        <v>0</v>
      </c>
      <c r="F13" t="b">
        <f>VLOOKUP(Tables[[#This Row],[ColumnName]],Table5[#All],2)</f>
        <v>1</v>
      </c>
      <c r="G13" t="b">
        <f>IF(OR(Tables[IsCommonMetric]=TRUE,Tables[IsCommonField]=TRUE),TRUE,FALSE)</f>
        <v>1</v>
      </c>
      <c r="H13" t="b">
        <f>IF(VLOOKUP(Tables[[#This Row],[ColumnName]],Table4[TechnicalName],1)=Tables[[#This Row],[ColumnName]],TRUE,FALSE)</f>
        <v>0</v>
      </c>
      <c r="I13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14" spans="1:9" x14ac:dyDescent="0.25">
      <c r="A14" t="s">
        <v>1</v>
      </c>
      <c r="B14" t="s">
        <v>0</v>
      </c>
      <c r="C14" t="s">
        <v>28</v>
      </c>
      <c r="D14" t="s">
        <v>29</v>
      </c>
      <c r="E14" t="b">
        <f>IF(Tables[[#This Row],[ColumnType]]="Decimal",TRUE,FALSE)</f>
        <v>0</v>
      </c>
      <c r="F14" t="b">
        <f>VLOOKUP(Tables[[#This Row],[ColumnName]],Table5[#All],2)</f>
        <v>1</v>
      </c>
      <c r="G14" t="b">
        <f>IF(OR(Tables[IsCommonMetric]=TRUE,Tables[IsCommonField]=TRUE),TRUE,FALSE)</f>
        <v>0</v>
      </c>
      <c r="H14" t="b">
        <f>IF(VLOOKUP(Tables[[#This Row],[ColumnName]],Table4[TechnicalName],1)=Tables[[#This Row],[ColumnName]],TRUE,FALSE)</f>
        <v>0</v>
      </c>
      <c r="I1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" spans="1:9" x14ac:dyDescent="0.25">
      <c r="A15" t="s">
        <v>1</v>
      </c>
      <c r="B15" t="s">
        <v>0</v>
      </c>
      <c r="C15" t="s">
        <v>31</v>
      </c>
      <c r="D15" t="s">
        <v>8</v>
      </c>
      <c r="E15" t="b">
        <f>IF(Tables[[#This Row],[ColumnType]]="Decimal",TRUE,FALSE)</f>
        <v>0</v>
      </c>
      <c r="F15" t="b">
        <f>VLOOKUP(Tables[[#This Row],[ColumnName]],Table5[#All],2)</f>
        <v>1</v>
      </c>
      <c r="G15" t="b">
        <f>IF(OR(Tables[IsCommonMetric]=TRUE,Tables[IsCommonField]=TRUE),TRUE,FALSE)</f>
        <v>0</v>
      </c>
      <c r="H15" t="b">
        <f>IF(VLOOKUP(Tables[[#This Row],[ColumnName]],Table4[TechnicalName],1)=Tables[[#This Row],[ColumnName]],TRUE,FALSE)</f>
        <v>0</v>
      </c>
      <c r="I1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" spans="1:9" x14ac:dyDescent="0.25">
      <c r="A16" t="s">
        <v>1</v>
      </c>
      <c r="B16" t="s">
        <v>0</v>
      </c>
      <c r="C16" t="s">
        <v>37</v>
      </c>
      <c r="D16" t="s">
        <v>8</v>
      </c>
      <c r="E16" t="b">
        <f>IF(Tables[[#This Row],[ColumnType]]="Decimal",TRUE,FALSE)</f>
        <v>0</v>
      </c>
      <c r="F16" t="b">
        <f>VLOOKUP(Tables[[#This Row],[ColumnName]],Table5[#All],2)</f>
        <v>1</v>
      </c>
      <c r="G16" t="b">
        <f>IF(OR(Tables[IsCommonMetric]=TRUE,Tables[IsCommonField]=TRUE),TRUE,FALSE)</f>
        <v>0</v>
      </c>
      <c r="H16" t="b">
        <f>IF(VLOOKUP(Tables[[#This Row],[ColumnName]],Table4[TechnicalName],1)=Tables[[#This Row],[ColumnName]],TRUE,FALSE)</f>
        <v>0</v>
      </c>
      <c r="I1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" spans="1:9" x14ac:dyDescent="0.25">
      <c r="A17" t="s">
        <v>1</v>
      </c>
      <c r="B17" t="s">
        <v>0</v>
      </c>
      <c r="C17" t="s">
        <v>22</v>
      </c>
      <c r="D17" t="s">
        <v>8</v>
      </c>
      <c r="E17" t="b">
        <f>IF(Tables[[#This Row],[ColumnType]]="Decimal",TRUE,FALSE)</f>
        <v>0</v>
      </c>
      <c r="F17" t="b">
        <f>VLOOKUP(Tables[[#This Row],[ColumnName]],Table5[#All],2)</f>
        <v>1</v>
      </c>
      <c r="G17" t="b">
        <f>IF(OR(Tables[IsCommonMetric]=TRUE,Tables[IsCommonField]=TRUE),TRUE,FALSE)</f>
        <v>0</v>
      </c>
      <c r="H17" t="b">
        <f>IF(VLOOKUP(Tables[[#This Row],[ColumnName]],Table4[TechnicalName],1)=Tables[[#This Row],[ColumnName]],TRUE,FALSE)</f>
        <v>0</v>
      </c>
      <c r="I1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" spans="1:9" x14ac:dyDescent="0.25">
      <c r="A18" t="s">
        <v>1</v>
      </c>
      <c r="B18" t="s">
        <v>0</v>
      </c>
      <c r="C18" t="s">
        <v>9</v>
      </c>
      <c r="D18" t="s">
        <v>8</v>
      </c>
      <c r="E18" t="b">
        <f>IF(Tables[[#This Row],[ColumnType]]="Decimal",TRUE,FALSE)</f>
        <v>0</v>
      </c>
      <c r="F18" t="b">
        <f>VLOOKUP(Tables[[#This Row],[ColumnName]],Table5[#All],2)</f>
        <v>1</v>
      </c>
      <c r="G18" t="b">
        <f>IF(OR(Tables[IsCommonMetric]=TRUE,Tables[IsCommonField]=TRUE),TRUE,FALSE)</f>
        <v>0</v>
      </c>
      <c r="H18" t="b">
        <f>IF(VLOOKUP(Tables[[#This Row],[ColumnName]],Table4[TechnicalName],1)=Tables[[#This Row],[ColumnName]],TRUE,FALSE)</f>
        <v>0</v>
      </c>
      <c r="I1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" spans="1:9" x14ac:dyDescent="0.25">
      <c r="A19" t="s">
        <v>1</v>
      </c>
      <c r="B19" t="s">
        <v>0</v>
      </c>
      <c r="C19" t="s">
        <v>12</v>
      </c>
      <c r="D19" t="s">
        <v>8</v>
      </c>
      <c r="E19" t="b">
        <f>IF(Tables[[#This Row],[ColumnType]]="Decimal",TRUE,FALSE)</f>
        <v>0</v>
      </c>
      <c r="F19" t="b">
        <f>VLOOKUP(Tables[[#This Row],[ColumnName]],Table5[#All],2)</f>
        <v>1</v>
      </c>
      <c r="G19" t="b">
        <f>IF(OR(Tables[IsCommonMetric]=TRUE,Tables[IsCommonField]=TRUE),TRUE,FALSE)</f>
        <v>0</v>
      </c>
      <c r="H19" t="b">
        <f>IF(VLOOKUP(Tables[[#This Row],[ColumnName]],Table4[TechnicalName],1)=Tables[[#This Row],[ColumnName]],TRUE,FALSE)</f>
        <v>0</v>
      </c>
      <c r="I1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" spans="1:9" x14ac:dyDescent="0.25">
      <c r="A20" t="s">
        <v>1</v>
      </c>
      <c r="B20" t="s">
        <v>0</v>
      </c>
      <c r="C20" t="s">
        <v>36</v>
      </c>
      <c r="D20" t="s">
        <v>8</v>
      </c>
      <c r="E20" t="b">
        <f>IF(Tables[[#This Row],[ColumnType]]="Decimal",TRUE,FALSE)</f>
        <v>0</v>
      </c>
      <c r="F20" t="b">
        <f>VLOOKUP(Tables[[#This Row],[ColumnName]],Table5[#All],2)</f>
        <v>1</v>
      </c>
      <c r="G20" t="b">
        <f>IF(OR(Tables[IsCommonMetric]=TRUE,Tables[IsCommonField]=TRUE),TRUE,FALSE)</f>
        <v>0</v>
      </c>
      <c r="H20" t="b">
        <f>IF(VLOOKUP(Tables[[#This Row],[ColumnName]],Table4[TechnicalName],1)=Tables[[#This Row],[ColumnName]],TRUE,FALSE)</f>
        <v>0</v>
      </c>
      <c r="I2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1" spans="1:9" x14ac:dyDescent="0.25">
      <c r="A21" t="s">
        <v>1</v>
      </c>
      <c r="B21" t="s">
        <v>0</v>
      </c>
      <c r="C21" t="s">
        <v>7</v>
      </c>
      <c r="D21" t="s">
        <v>8</v>
      </c>
      <c r="E21" t="b">
        <f>IF(Tables[[#This Row],[ColumnType]]="Decimal",TRUE,FALSE)</f>
        <v>0</v>
      </c>
      <c r="F21" t="b">
        <f>VLOOKUP(Tables[[#This Row],[ColumnName]],Table5[#All],2)</f>
        <v>0</v>
      </c>
      <c r="G21" t="b">
        <f>IF(OR(Tables[IsCommonMetric]=TRUE,Tables[IsCommonField]=TRUE),TRUE,FALSE)</f>
        <v>0</v>
      </c>
      <c r="H21" t="b">
        <f>IF(VLOOKUP(Tables[[#This Row],[ColumnName]],Table4[TechnicalName],1)=Tables[[#This Row],[ColumnName]],TRUE,FALSE)</f>
        <v>0</v>
      </c>
      <c r="I2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2" spans="1:9" x14ac:dyDescent="0.25">
      <c r="A22" t="s">
        <v>1</v>
      </c>
      <c r="B22" t="s">
        <v>0</v>
      </c>
      <c r="C22" t="s">
        <v>19</v>
      </c>
      <c r="D22" t="s">
        <v>8</v>
      </c>
      <c r="E22" t="b">
        <f>IF(Tables[[#This Row],[ColumnType]]="Decimal",TRUE,FALSE)</f>
        <v>0</v>
      </c>
      <c r="F22" t="b">
        <f>VLOOKUP(Tables[[#This Row],[ColumnName]],Table5[#All],2)</f>
        <v>1</v>
      </c>
      <c r="G22" t="b">
        <f>IF(OR(Tables[IsCommonMetric]=TRUE,Tables[IsCommonField]=TRUE),TRUE,FALSE)</f>
        <v>0</v>
      </c>
      <c r="H22" t="b">
        <f>IF(VLOOKUP(Tables[[#This Row],[ColumnName]],Table4[TechnicalName],1)=Tables[[#This Row],[ColumnName]],TRUE,FALSE)</f>
        <v>0</v>
      </c>
      <c r="I2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3" spans="1:9" x14ac:dyDescent="0.25">
      <c r="A23" t="s">
        <v>1</v>
      </c>
      <c r="B23" t="s">
        <v>0</v>
      </c>
      <c r="C23" t="s">
        <v>15</v>
      </c>
      <c r="D23" t="s">
        <v>8</v>
      </c>
      <c r="E23" t="b">
        <f>IF(Tables[[#This Row],[ColumnType]]="Decimal",TRUE,FALSE)</f>
        <v>0</v>
      </c>
      <c r="F23" t="b">
        <f>VLOOKUP(Tables[[#This Row],[ColumnName]],Table5[#All],2)</f>
        <v>1</v>
      </c>
      <c r="G23" t="b">
        <f>IF(OR(Tables[IsCommonMetric]=TRUE,Tables[IsCommonField]=TRUE),TRUE,FALSE)</f>
        <v>0</v>
      </c>
      <c r="H23" t="b">
        <f>IF(VLOOKUP(Tables[[#This Row],[ColumnName]],Table4[TechnicalName],1)=Tables[[#This Row],[ColumnName]],TRUE,FALSE)</f>
        <v>0</v>
      </c>
      <c r="I2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4" spans="1:9" x14ac:dyDescent="0.25">
      <c r="A24" t="s">
        <v>1</v>
      </c>
      <c r="B24" t="s">
        <v>0</v>
      </c>
      <c r="C24" t="s">
        <v>35</v>
      </c>
      <c r="D24" t="s">
        <v>8</v>
      </c>
      <c r="E24" t="b">
        <f>IF(Tables[[#This Row],[ColumnType]]="Decimal",TRUE,FALSE)</f>
        <v>0</v>
      </c>
      <c r="F24" t="b">
        <f>VLOOKUP(Tables[[#This Row],[ColumnName]],Table5[#All],2)</f>
        <v>1</v>
      </c>
      <c r="G24" t="b">
        <f>IF(OR(Tables[IsCommonMetric]=TRUE,Tables[IsCommonField]=TRUE),TRUE,FALSE)</f>
        <v>0</v>
      </c>
      <c r="H24" t="b">
        <f>IF(VLOOKUP(Tables[[#This Row],[ColumnName]],Table4[TechnicalName],1)=Tables[[#This Row],[ColumnName]],TRUE,FALSE)</f>
        <v>0</v>
      </c>
      <c r="I2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5" spans="1:9" x14ac:dyDescent="0.25">
      <c r="A25" t="s">
        <v>1</v>
      </c>
      <c r="B25" t="s">
        <v>0</v>
      </c>
      <c r="C25" t="s">
        <v>32</v>
      </c>
      <c r="D25" t="s">
        <v>8</v>
      </c>
      <c r="E25" t="b">
        <f>IF(Tables[[#This Row],[ColumnType]]="Decimal",TRUE,FALSE)</f>
        <v>0</v>
      </c>
      <c r="F25" t="b">
        <f>VLOOKUP(Tables[[#This Row],[ColumnName]],Table5[#All],2)</f>
        <v>1</v>
      </c>
      <c r="G25" t="b">
        <f>IF(OR(Tables[IsCommonMetric]=TRUE,Tables[IsCommonField]=TRUE),TRUE,FALSE)</f>
        <v>0</v>
      </c>
      <c r="H25" t="b">
        <f>IF(VLOOKUP(Tables[[#This Row],[ColumnName]],Table4[TechnicalName],1)=Tables[[#This Row],[ColumnName]],TRUE,FALSE)</f>
        <v>0</v>
      </c>
      <c r="I2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6" spans="1:9" x14ac:dyDescent="0.25">
      <c r="A26" t="s">
        <v>1</v>
      </c>
      <c r="B26" t="s">
        <v>0</v>
      </c>
      <c r="C26" t="s">
        <v>23</v>
      </c>
      <c r="D26" t="s">
        <v>8</v>
      </c>
      <c r="E26" t="b">
        <f>IF(Tables[[#This Row],[ColumnType]]="Decimal",TRUE,FALSE)</f>
        <v>0</v>
      </c>
      <c r="F26" t="b">
        <f>VLOOKUP(Tables[[#This Row],[ColumnName]],Table5[#All],2)</f>
        <v>1</v>
      </c>
      <c r="G26" t="b">
        <f>IF(OR(Tables[IsCommonMetric]=TRUE,Tables[IsCommonField]=TRUE),TRUE,FALSE)</f>
        <v>0</v>
      </c>
      <c r="H26" t="b">
        <f>IF(VLOOKUP(Tables[[#This Row],[ColumnName]],Table4[TechnicalName],1)=Tables[[#This Row],[ColumnName]],TRUE,FALSE)</f>
        <v>0</v>
      </c>
      <c r="I2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7" spans="1:9" x14ac:dyDescent="0.25">
      <c r="A27" t="s">
        <v>1</v>
      </c>
      <c r="B27" t="s">
        <v>0</v>
      </c>
      <c r="C27" t="s">
        <v>11</v>
      </c>
      <c r="D27" t="s">
        <v>8</v>
      </c>
      <c r="E27" t="b">
        <f>IF(Tables[[#This Row],[ColumnType]]="Decimal",TRUE,FALSE)</f>
        <v>0</v>
      </c>
      <c r="F27" t="b">
        <f>VLOOKUP(Tables[[#This Row],[ColumnName]],Table5[#All],2)</f>
        <v>1</v>
      </c>
      <c r="G27" t="b">
        <f>IF(OR(Tables[IsCommonMetric]=TRUE,Tables[IsCommonField]=TRUE),TRUE,FALSE)</f>
        <v>0</v>
      </c>
      <c r="H27" t="b">
        <f>IF(VLOOKUP(Tables[[#This Row],[ColumnName]],Table4[TechnicalName],1)=Tables[[#This Row],[ColumnName]],TRUE,FALSE)</f>
        <v>0</v>
      </c>
      <c r="I2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8" spans="1:9" x14ac:dyDescent="0.25">
      <c r="A28" t="s">
        <v>1</v>
      </c>
      <c r="B28" t="s">
        <v>0</v>
      </c>
      <c r="C28" t="s">
        <v>16</v>
      </c>
      <c r="D28" t="s">
        <v>8</v>
      </c>
      <c r="E28" t="b">
        <f>IF(Tables[[#This Row],[ColumnType]]="Decimal",TRUE,FALSE)</f>
        <v>0</v>
      </c>
      <c r="F28" t="b">
        <f>VLOOKUP(Tables[[#This Row],[ColumnName]],Table5[#All],2)</f>
        <v>1</v>
      </c>
      <c r="G28" t="b">
        <f>IF(OR(Tables[IsCommonMetric]=TRUE,Tables[IsCommonField]=TRUE),TRUE,FALSE)</f>
        <v>0</v>
      </c>
      <c r="H28" t="b">
        <f>IF(VLOOKUP(Tables[[#This Row],[ColumnName]],Table4[TechnicalName],1)=Tables[[#This Row],[ColumnName]],TRUE,FALSE)</f>
        <v>0</v>
      </c>
      <c r="I2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9" spans="1:9" x14ac:dyDescent="0.25">
      <c r="A29" t="s">
        <v>1</v>
      </c>
      <c r="B29" t="s">
        <v>0</v>
      </c>
      <c r="C29" t="s">
        <v>38</v>
      </c>
      <c r="D29" t="s">
        <v>8</v>
      </c>
      <c r="E29" t="b">
        <f>IF(Tables[[#This Row],[ColumnType]]="Decimal",TRUE,FALSE)</f>
        <v>0</v>
      </c>
      <c r="F29" t="b">
        <f>VLOOKUP(Tables[[#This Row],[ColumnName]],Table5[#All],2)</f>
        <v>0</v>
      </c>
      <c r="G29" t="b">
        <f>IF(OR(Tables[IsCommonMetric]=TRUE,Tables[IsCommonField]=TRUE),TRUE,FALSE)</f>
        <v>0</v>
      </c>
      <c r="H29" t="b">
        <f>IF(VLOOKUP(Tables[[#This Row],[ColumnName]],Table4[TechnicalName],1)=Tables[[#This Row],[ColumnName]],TRUE,FALSE)</f>
        <v>0</v>
      </c>
      <c r="I2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0" spans="1:9" x14ac:dyDescent="0.25">
      <c r="A30" t="s">
        <v>1</v>
      </c>
      <c r="B30" t="s">
        <v>0</v>
      </c>
      <c r="C30" t="s">
        <v>18</v>
      </c>
      <c r="D30" t="s">
        <v>8</v>
      </c>
      <c r="E30" t="b">
        <f>IF(Tables[[#This Row],[ColumnType]]="Decimal",TRUE,FALSE)</f>
        <v>0</v>
      </c>
      <c r="F30" t="b">
        <f>VLOOKUP(Tables[[#This Row],[ColumnName]],Table5[#All],2)</f>
        <v>0</v>
      </c>
      <c r="G30" t="b">
        <f>IF(OR(Tables[IsCommonMetric]=TRUE,Tables[IsCommonField]=TRUE),TRUE,FALSE)</f>
        <v>0</v>
      </c>
      <c r="H30" t="b">
        <f>IF(VLOOKUP(Tables[[#This Row],[ColumnName]],Table4[TechnicalName],1)=Tables[[#This Row],[ColumnName]],TRUE,FALSE)</f>
        <v>0</v>
      </c>
      <c r="I3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1" spans="1:9" x14ac:dyDescent="0.25">
      <c r="A31" t="s">
        <v>1</v>
      </c>
      <c r="B31" t="s">
        <v>0</v>
      </c>
      <c r="C31" t="s">
        <v>34</v>
      </c>
      <c r="D31" t="s">
        <v>8</v>
      </c>
      <c r="E31" t="b">
        <f>IF(Tables[[#This Row],[ColumnType]]="Decimal",TRUE,FALSE)</f>
        <v>0</v>
      </c>
      <c r="F31" t="b">
        <f>VLOOKUP(Tables[[#This Row],[ColumnName]],Table5[#All],2)</f>
        <v>0</v>
      </c>
      <c r="G31" t="b">
        <f>IF(OR(Tables[IsCommonMetric]=TRUE,Tables[IsCommonField]=TRUE),TRUE,FALSE)</f>
        <v>0</v>
      </c>
      <c r="H31" t="b">
        <f>IF(VLOOKUP(Tables[[#This Row],[ColumnName]],Table4[TechnicalName],1)=Tables[[#This Row],[ColumnName]],TRUE,FALSE)</f>
        <v>0</v>
      </c>
      <c r="I3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2" spans="1:9" x14ac:dyDescent="0.25">
      <c r="A32" t="s">
        <v>1</v>
      </c>
      <c r="B32" t="s">
        <v>0</v>
      </c>
      <c r="C32" t="s">
        <v>33</v>
      </c>
      <c r="D32" t="s">
        <v>8</v>
      </c>
      <c r="E32" t="b">
        <f>IF(Tables[[#This Row],[ColumnType]]="Decimal",TRUE,FALSE)</f>
        <v>0</v>
      </c>
      <c r="F32" t="b">
        <f>VLOOKUP(Tables[[#This Row],[ColumnName]],Table5[#All],2)</f>
        <v>1</v>
      </c>
      <c r="G32" t="b">
        <f>IF(OR(Tables[IsCommonMetric]=TRUE,Tables[IsCommonField]=TRUE),TRUE,FALSE)</f>
        <v>0</v>
      </c>
      <c r="H32" t="b">
        <f>IF(VLOOKUP(Tables[[#This Row],[ColumnName]],Table4[TechnicalName],1)=Tables[[#This Row],[ColumnName]],TRUE,FALSE)</f>
        <v>0</v>
      </c>
      <c r="I3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3" spans="1:9" x14ac:dyDescent="0.25">
      <c r="A33" t="s">
        <v>1</v>
      </c>
      <c r="B33" t="s">
        <v>0</v>
      </c>
      <c r="C33" t="s">
        <v>17</v>
      </c>
      <c r="D33" t="s">
        <v>8</v>
      </c>
      <c r="E33" t="b">
        <f>IF(Tables[[#This Row],[ColumnType]]="Decimal",TRUE,FALSE)</f>
        <v>0</v>
      </c>
      <c r="F33" t="b">
        <f>VLOOKUP(Tables[[#This Row],[ColumnName]],Table5[#All],2)</f>
        <v>1</v>
      </c>
      <c r="G33" t="b">
        <f>IF(OR(Tables[IsCommonMetric]=TRUE,Tables[IsCommonField]=TRUE),TRUE,FALSE)</f>
        <v>0</v>
      </c>
      <c r="H33" t="b">
        <f>IF(VLOOKUP(Tables[[#This Row],[ColumnName]],Table4[TechnicalName],1)=Tables[[#This Row],[ColumnName]],TRUE,FALSE)</f>
        <v>0</v>
      </c>
      <c r="I3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4" spans="1:9" x14ac:dyDescent="0.25">
      <c r="A34" t="s">
        <v>199</v>
      </c>
      <c r="B34" t="s">
        <v>200</v>
      </c>
      <c r="C34" t="s">
        <v>58</v>
      </c>
      <c r="D34" t="s">
        <v>8</v>
      </c>
      <c r="E34" t="b">
        <f>IF(Tables[[#This Row],[ColumnType]]="Decimal",TRUE,FALSE)</f>
        <v>0</v>
      </c>
      <c r="F34" t="b">
        <f>VLOOKUP(Tables[[#This Row],[ColumnName]],Table5[#All],2)</f>
        <v>1</v>
      </c>
      <c r="G34" t="b">
        <f>IF(OR(Tables[IsCommonMetric]=TRUE,Tables[IsCommonField]=TRUE),TRUE,FALSE)</f>
        <v>0</v>
      </c>
      <c r="H34" t="b">
        <f>IF(VLOOKUP(Tables[[#This Row],[ColumnName]],Table4[TechnicalName],1)=Tables[[#This Row],[ColumnName]],TRUE,FALSE)</f>
        <v>0</v>
      </c>
      <c r="I3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5" spans="1:9" x14ac:dyDescent="0.25">
      <c r="A35" t="s">
        <v>199</v>
      </c>
      <c r="B35" t="s">
        <v>200</v>
      </c>
      <c r="C35" t="s">
        <v>59</v>
      </c>
      <c r="D35" t="s">
        <v>8</v>
      </c>
      <c r="E35" t="b">
        <f>IF(Tables[[#This Row],[ColumnType]]="Decimal",TRUE,FALSE)</f>
        <v>0</v>
      </c>
      <c r="F35" t="b">
        <f>VLOOKUP(Tables[[#This Row],[ColumnName]],Table5[#All],2)</f>
        <v>1</v>
      </c>
      <c r="G35" t="b">
        <f>IF(OR(Tables[IsCommonMetric]=TRUE,Tables[IsCommonField]=TRUE),TRUE,FALSE)</f>
        <v>0</v>
      </c>
      <c r="H35" t="b">
        <f>IF(VLOOKUP(Tables[[#This Row],[ColumnName]],Table4[TechnicalName],1)=Tables[[#This Row],[ColumnName]],TRUE,FALSE)</f>
        <v>0</v>
      </c>
      <c r="I3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6" spans="1:9" x14ac:dyDescent="0.25">
      <c r="A36" t="s">
        <v>199</v>
      </c>
      <c r="B36" t="s">
        <v>200</v>
      </c>
      <c r="C36" t="s">
        <v>60</v>
      </c>
      <c r="D36" t="s">
        <v>8</v>
      </c>
      <c r="E36" t="b">
        <f>IF(Tables[[#This Row],[ColumnType]]="Decimal",TRUE,FALSE)</f>
        <v>0</v>
      </c>
      <c r="F36" t="b">
        <f>VLOOKUP(Tables[[#This Row],[ColumnName]],Table5[#All],2)</f>
        <v>1</v>
      </c>
      <c r="G36" t="b">
        <f>IF(OR(Tables[IsCommonMetric]=TRUE,Tables[IsCommonField]=TRUE),TRUE,FALSE)</f>
        <v>0</v>
      </c>
      <c r="H36" t="b">
        <f>IF(VLOOKUP(Tables[[#This Row],[ColumnName]],Table4[TechnicalName],1)=Tables[[#This Row],[ColumnName]],TRUE,FALSE)</f>
        <v>0</v>
      </c>
      <c r="I3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7" spans="1:9" x14ac:dyDescent="0.25">
      <c r="A37" t="s">
        <v>199</v>
      </c>
      <c r="B37" t="s">
        <v>200</v>
      </c>
      <c r="C37" t="s">
        <v>46</v>
      </c>
      <c r="D37" t="s">
        <v>8</v>
      </c>
      <c r="E37" t="b">
        <f>IF(Tables[[#This Row],[ColumnType]]="Decimal",TRUE,FALSE)</f>
        <v>0</v>
      </c>
      <c r="F37" t="b">
        <f>VLOOKUP(Tables[[#This Row],[ColumnName]],Table5[#All],2)</f>
        <v>1</v>
      </c>
      <c r="G37" t="b">
        <f>IF(OR(Tables[IsCommonMetric]=TRUE,Tables[IsCommonField]=TRUE),TRUE,FALSE)</f>
        <v>0</v>
      </c>
      <c r="H37" t="b">
        <f>IF(VLOOKUP(Tables[[#This Row],[ColumnName]],Table4[TechnicalName],1)=Tables[[#This Row],[ColumnName]],TRUE,FALSE)</f>
        <v>0</v>
      </c>
      <c r="I3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8" spans="1:9" x14ac:dyDescent="0.25">
      <c r="A38" t="s">
        <v>39</v>
      </c>
      <c r="B38" t="s">
        <v>40</v>
      </c>
      <c r="C38" t="s">
        <v>147</v>
      </c>
      <c r="D38" t="s">
        <v>50</v>
      </c>
      <c r="E38" t="b">
        <f>IF(Tables[[#This Row],[ColumnType]]="Decimal",TRUE,FALSE)</f>
        <v>1</v>
      </c>
      <c r="F38" t="b">
        <f>VLOOKUP(Tables[[#This Row],[ColumnName]],Table5[#All],2)</f>
        <v>1</v>
      </c>
      <c r="G38" t="b">
        <f>IF(OR(Tables[IsCommonMetric]=TRUE,Tables[IsCommonField]=TRUE),TRUE,FALSE)</f>
        <v>0</v>
      </c>
      <c r="H38" t="b">
        <f>IF(IF(ISERROR(VLOOKUP(Tables[[#This Row],[ColumnName]],Table4[TechnicalName],1)),"NOTFOUND",VLOOKUP(Tables[[#This Row],[ColumnName]],Table4[TechnicalName],1))=Tables[[#This Row],[ColumnName]],TRUE,FALSE)</f>
        <v>0</v>
      </c>
      <c r="I3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39" spans="1:9" x14ac:dyDescent="0.25">
      <c r="A39" t="s">
        <v>39</v>
      </c>
      <c r="B39" t="s">
        <v>40</v>
      </c>
      <c r="C39" t="s">
        <v>148</v>
      </c>
      <c r="D39" t="s">
        <v>50</v>
      </c>
      <c r="E39" t="b">
        <f>IF(Tables[[#This Row],[ColumnType]]="Decimal",TRUE,FALSE)</f>
        <v>1</v>
      </c>
      <c r="F39" t="b">
        <f>VLOOKUP(Tables[[#This Row],[ColumnName]],Table5[#All],2)</f>
        <v>1</v>
      </c>
      <c r="G39" t="b">
        <f>IF(OR(Tables[IsCommonMetric]=TRUE,Tables[IsCommonField]=TRUE),TRUE,FALSE)</f>
        <v>0</v>
      </c>
      <c r="H39" t="b">
        <f>IF(IF(ISERROR(VLOOKUP(Tables[[#This Row],[ColumnName]],Table4[TechnicalName],1)),"NOTFOUND",VLOOKUP(Tables[[#This Row],[ColumnName]],Table4[TechnicalName],1))=Tables[[#This Row],[ColumnName]],TRUE,FALSE)</f>
        <v>0</v>
      </c>
      <c r="I3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40" spans="1:9" x14ac:dyDescent="0.25">
      <c r="A40" t="s">
        <v>199</v>
      </c>
      <c r="B40" t="s">
        <v>200</v>
      </c>
      <c r="C40" t="s">
        <v>45</v>
      </c>
      <c r="D40" t="s">
        <v>8</v>
      </c>
      <c r="E40" t="b">
        <f>IF(Tables[[#This Row],[ColumnType]]="Decimal",TRUE,FALSE)</f>
        <v>0</v>
      </c>
      <c r="F40" t="b">
        <f>VLOOKUP(Tables[[#This Row],[ColumnName]],Table5[#All],2)</f>
        <v>1</v>
      </c>
      <c r="G40" t="b">
        <f>IF(OR(Tables[IsCommonMetric]=TRUE,Tables[IsCommonField]=TRUE),TRUE,FALSE)</f>
        <v>0</v>
      </c>
      <c r="H40" t="b">
        <f>IF(VLOOKUP(Tables[[#This Row],[ColumnName]],Table4[TechnicalName],1)=Tables[[#This Row],[ColumnName]],TRUE,FALSE)</f>
        <v>0</v>
      </c>
      <c r="I4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41" spans="1:9" x14ac:dyDescent="0.25">
      <c r="A41" t="s">
        <v>199</v>
      </c>
      <c r="B41" t="s">
        <v>200</v>
      </c>
      <c r="C41" t="s">
        <v>64</v>
      </c>
      <c r="D41" t="s">
        <v>8</v>
      </c>
      <c r="E41" t="b">
        <f>IF(Tables[[#This Row],[ColumnType]]="Decimal",TRUE,FALSE)</f>
        <v>0</v>
      </c>
      <c r="F41" t="b">
        <f>VLOOKUP(Tables[[#This Row],[ColumnName]],Table5[#All],2)</f>
        <v>1</v>
      </c>
      <c r="G41" t="b">
        <f>IF(OR(Tables[IsCommonMetric]=TRUE,Tables[IsCommonField]=TRUE),TRUE,FALSE)</f>
        <v>0</v>
      </c>
      <c r="H41" t="b">
        <f>IF(VLOOKUP(Tables[[#This Row],[ColumnName]],Table4[TechnicalName],1)=Tables[[#This Row],[ColumnName]],TRUE,FALSE)</f>
        <v>0</v>
      </c>
      <c r="I4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42" spans="1:9" x14ac:dyDescent="0.25">
      <c r="A42" t="s">
        <v>199</v>
      </c>
      <c r="B42" t="s">
        <v>200</v>
      </c>
      <c r="C42" t="s">
        <v>43</v>
      </c>
      <c r="D42" t="s">
        <v>8</v>
      </c>
      <c r="E42" t="b">
        <f>IF(Tables[[#This Row],[ColumnType]]="Decimal",TRUE,FALSE)</f>
        <v>0</v>
      </c>
      <c r="F42" t="b">
        <f>VLOOKUP(Tables[[#This Row],[ColumnName]],Table5[#All],2)</f>
        <v>1</v>
      </c>
      <c r="G42" t="b">
        <f>IF(OR(Tables[IsCommonMetric]=TRUE,Tables[IsCommonField]=TRUE),TRUE,FALSE)</f>
        <v>1</v>
      </c>
      <c r="H42" t="b">
        <f>IF(VLOOKUP(Tables[[#This Row],[ColumnName]],Table4[TechnicalName],1)=Tables[[#This Row],[ColumnName]],TRUE,FALSE)</f>
        <v>0</v>
      </c>
      <c r="I42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43" spans="1:9" x14ac:dyDescent="0.25">
      <c r="A43" t="s">
        <v>199</v>
      </c>
      <c r="B43" t="s">
        <v>200</v>
      </c>
      <c r="C43" t="s">
        <v>54</v>
      </c>
      <c r="D43" t="s">
        <v>8</v>
      </c>
      <c r="E43" t="b">
        <f>IF(Tables[[#This Row],[ColumnType]]="Decimal",TRUE,FALSE)</f>
        <v>0</v>
      </c>
      <c r="F43" t="b">
        <f>VLOOKUP(Tables[[#This Row],[ColumnName]],Table5[#All],2)</f>
        <v>1</v>
      </c>
      <c r="G43" t="b">
        <f>IF(OR(Tables[IsCommonMetric]=TRUE,Tables[IsCommonField]=TRUE),TRUE,FALSE)</f>
        <v>1</v>
      </c>
      <c r="H43" t="b">
        <f>IF(VLOOKUP(Tables[[#This Row],[ColumnName]],Table4[TechnicalName],1)=Tables[[#This Row],[ColumnName]],TRUE,FALSE)</f>
        <v>0</v>
      </c>
      <c r="I43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44" spans="1:9" x14ac:dyDescent="0.25">
      <c r="A44" t="s">
        <v>199</v>
      </c>
      <c r="B44" t="s">
        <v>200</v>
      </c>
      <c r="C44" t="s">
        <v>53</v>
      </c>
      <c r="D44" t="s">
        <v>8</v>
      </c>
      <c r="E44" t="b">
        <f>IF(Tables[[#This Row],[ColumnType]]="Decimal",TRUE,FALSE)</f>
        <v>0</v>
      </c>
      <c r="F44" t="b">
        <f>VLOOKUP(Tables[[#This Row],[ColumnName]],Table5[#All],2)</f>
        <v>1</v>
      </c>
      <c r="G44" t="b">
        <f>IF(OR(Tables[IsCommonMetric]=TRUE,Tables[IsCommonField]=TRUE),TRUE,FALSE)</f>
        <v>1</v>
      </c>
      <c r="H44" t="b">
        <f>IF(VLOOKUP(Tables[[#This Row],[ColumnName]],Table4[TechnicalName],1)=Tables[[#This Row],[ColumnName]],TRUE,FALSE)</f>
        <v>0</v>
      </c>
      <c r="I44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45" spans="1:9" x14ac:dyDescent="0.25">
      <c r="A45" t="s">
        <v>199</v>
      </c>
      <c r="B45" t="s">
        <v>200</v>
      </c>
      <c r="C45" t="s">
        <v>36</v>
      </c>
      <c r="D45" t="s">
        <v>8</v>
      </c>
      <c r="E45" t="b">
        <f>IF(Tables[[#This Row],[ColumnType]]="Decimal",TRUE,FALSE)</f>
        <v>0</v>
      </c>
      <c r="F45" t="b">
        <f>VLOOKUP(Tables[[#This Row],[ColumnName]],Table5[#All],2)</f>
        <v>1</v>
      </c>
      <c r="G45" t="b">
        <f>IF(OR(Tables[IsCommonMetric]=TRUE,Tables[IsCommonField]=TRUE),TRUE,FALSE)</f>
        <v>0</v>
      </c>
      <c r="H45" t="b">
        <f>IF(VLOOKUP(Tables[[#This Row],[ColumnName]],Table4[TechnicalName],1)=Tables[[#This Row],[ColumnName]],TRUE,FALSE)</f>
        <v>0</v>
      </c>
      <c r="I4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46" spans="1:9" x14ac:dyDescent="0.25">
      <c r="A46" t="s">
        <v>199</v>
      </c>
      <c r="B46" t="s">
        <v>200</v>
      </c>
      <c r="C46" t="s">
        <v>66</v>
      </c>
      <c r="D46" t="s">
        <v>29</v>
      </c>
      <c r="E46" t="b">
        <f>IF(Tables[[#This Row],[ColumnType]]="Decimal",TRUE,FALSE)</f>
        <v>0</v>
      </c>
      <c r="F46" t="b">
        <f>VLOOKUP(Tables[[#This Row],[ColumnName]],Table5[#All],2)</f>
        <v>1</v>
      </c>
      <c r="G46" t="b">
        <f>IF(OR(Tables[IsCommonMetric]=TRUE,Tables[IsCommonField]=TRUE),TRUE,FALSE)</f>
        <v>0</v>
      </c>
      <c r="H46" t="b">
        <f>IF(VLOOKUP(Tables[[#This Row],[ColumnName]],Table4[TechnicalName],1)=Tables[[#This Row],[ColumnName]],TRUE,FALSE)</f>
        <v>0</v>
      </c>
      <c r="I4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47" spans="1:9" x14ac:dyDescent="0.25">
      <c r="A47" t="s">
        <v>199</v>
      </c>
      <c r="B47" t="s">
        <v>200</v>
      </c>
      <c r="C47" t="s">
        <v>52</v>
      </c>
      <c r="D47" t="s">
        <v>8</v>
      </c>
      <c r="E47" t="b">
        <f>IF(Tables[[#This Row],[ColumnType]]="Decimal",TRUE,FALSE)</f>
        <v>0</v>
      </c>
      <c r="F47" t="b">
        <f>VLOOKUP(Tables[[#This Row],[ColumnName]],Table5[#All],2)</f>
        <v>1</v>
      </c>
      <c r="G47" t="b">
        <f>IF(OR(Tables[IsCommonMetric]=TRUE,Tables[IsCommonField]=TRUE),TRUE,FALSE)</f>
        <v>1</v>
      </c>
      <c r="H47" t="b">
        <f>IF(VLOOKUP(Tables[[#This Row],[ColumnName]],Table4[TechnicalName],1)=Tables[[#This Row],[ColumnName]],TRUE,FALSE)</f>
        <v>0</v>
      </c>
      <c r="I47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48" spans="1:9" x14ac:dyDescent="0.25">
      <c r="A48" t="s">
        <v>199</v>
      </c>
      <c r="B48" t="s">
        <v>200</v>
      </c>
      <c r="C48" t="s">
        <v>198</v>
      </c>
      <c r="D48" t="s">
        <v>8</v>
      </c>
      <c r="E48" t="b">
        <f>IF(Tables[[#This Row],[ColumnType]]="Decimal",TRUE,FALSE)</f>
        <v>0</v>
      </c>
      <c r="F48" t="b">
        <f>VLOOKUP(Tables[[#This Row],[ColumnName]],Table5[#All],2)</f>
        <v>1</v>
      </c>
      <c r="G48" t="b">
        <f>IF(OR(Tables[IsCommonMetric]=TRUE,Tables[IsCommonField]=TRUE),TRUE,FALSE)</f>
        <v>0</v>
      </c>
      <c r="H48" t="b">
        <f>IF(VLOOKUP(Tables[[#This Row],[ColumnName]],Table4[TechnicalName],1)=Tables[[#This Row],[ColumnName]],TRUE,FALSE)</f>
        <v>0</v>
      </c>
      <c r="I4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49" spans="1:9" x14ac:dyDescent="0.25">
      <c r="A49" t="s">
        <v>199</v>
      </c>
      <c r="B49" t="s">
        <v>200</v>
      </c>
      <c r="C49" t="s">
        <v>57</v>
      </c>
      <c r="D49" t="s">
        <v>8</v>
      </c>
      <c r="E49" t="b">
        <f>IF(Tables[[#This Row],[ColumnType]]="Decimal",TRUE,FALSE)</f>
        <v>0</v>
      </c>
      <c r="F49" t="b">
        <f>VLOOKUP(Tables[[#This Row],[ColumnName]],Table5[#All],2)</f>
        <v>1</v>
      </c>
      <c r="G49" t="b">
        <f>IF(OR(Tables[IsCommonMetric]=TRUE,Tables[IsCommonField]=TRUE),TRUE,FALSE)</f>
        <v>0</v>
      </c>
      <c r="H49" t="b">
        <f>IF(VLOOKUP(Tables[[#This Row],[ColumnName]],Table4[TechnicalName],1)=Tables[[#This Row],[ColumnName]],TRUE,FALSE)</f>
        <v>0</v>
      </c>
      <c r="I4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0" spans="1:9" x14ac:dyDescent="0.25">
      <c r="A50" t="s">
        <v>199</v>
      </c>
      <c r="B50" t="s">
        <v>200</v>
      </c>
      <c r="C50" t="s">
        <v>55</v>
      </c>
      <c r="D50" t="s">
        <v>8</v>
      </c>
      <c r="E50" t="b">
        <f>IF(Tables[[#This Row],[ColumnType]]="Decimal",TRUE,FALSE)</f>
        <v>0</v>
      </c>
      <c r="F50" t="b">
        <f>VLOOKUP(Tables[[#This Row],[ColumnName]],Table5[#All],2)</f>
        <v>1</v>
      </c>
      <c r="G50" t="b">
        <f>IF(OR(Tables[IsCommonMetric]=TRUE,Tables[IsCommonField]=TRUE),TRUE,FALSE)</f>
        <v>0</v>
      </c>
      <c r="H50" t="b">
        <f>IF(VLOOKUP(Tables[[#This Row],[ColumnName]],Table4[TechnicalName],1)=Tables[[#This Row],[ColumnName]],TRUE,FALSE)</f>
        <v>0</v>
      </c>
      <c r="I5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1" spans="1:9" x14ac:dyDescent="0.25">
      <c r="A51" t="s">
        <v>199</v>
      </c>
      <c r="B51" t="s">
        <v>200</v>
      </c>
      <c r="C51" t="s">
        <v>61</v>
      </c>
      <c r="D51" t="s">
        <v>8</v>
      </c>
      <c r="E51" t="b">
        <f>IF(Tables[[#This Row],[ColumnType]]="Decimal",TRUE,FALSE)</f>
        <v>0</v>
      </c>
      <c r="F51" t="b">
        <f>VLOOKUP(Tables[[#This Row],[ColumnName]],Table5[#All],2)</f>
        <v>1</v>
      </c>
      <c r="G51" t="b">
        <f>IF(OR(Tables[IsCommonMetric]=TRUE,Tables[IsCommonField]=TRUE),TRUE,FALSE)</f>
        <v>0</v>
      </c>
      <c r="H51" t="b">
        <f>IF(VLOOKUP(Tables[[#This Row],[ColumnName]],Table4[TechnicalName],1)=Tables[[#This Row],[ColumnName]],TRUE,FALSE)</f>
        <v>0</v>
      </c>
      <c r="I5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2" spans="1:9" x14ac:dyDescent="0.25">
      <c r="A52" t="s">
        <v>199</v>
      </c>
      <c r="B52" t="s">
        <v>200</v>
      </c>
      <c r="C52" t="s">
        <v>62</v>
      </c>
      <c r="D52" t="s">
        <v>8</v>
      </c>
      <c r="E52" t="b">
        <f>IF(Tables[[#This Row],[ColumnType]]="Decimal",TRUE,FALSE)</f>
        <v>0</v>
      </c>
      <c r="F52" t="b">
        <f>VLOOKUP(Tables[[#This Row],[ColumnName]],Table5[#All],2)</f>
        <v>1</v>
      </c>
      <c r="G52" t="b">
        <f>IF(OR(Tables[IsCommonMetric]=TRUE,Tables[IsCommonField]=TRUE),TRUE,FALSE)</f>
        <v>0</v>
      </c>
      <c r="H52" t="b">
        <f>IF(VLOOKUP(Tables[[#This Row],[ColumnName]],Table4[TechnicalName],1)=Tables[[#This Row],[ColumnName]],TRUE,FALSE)</f>
        <v>0</v>
      </c>
      <c r="I5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3" spans="1:9" x14ac:dyDescent="0.25">
      <c r="A53" t="s">
        <v>199</v>
      </c>
      <c r="B53" t="s">
        <v>200</v>
      </c>
      <c r="C53" t="s">
        <v>63</v>
      </c>
      <c r="D53" t="s">
        <v>8</v>
      </c>
      <c r="E53" t="b">
        <f>IF(Tables[[#This Row],[ColumnType]]="Decimal",TRUE,FALSE)</f>
        <v>0</v>
      </c>
      <c r="F53" t="b">
        <f>VLOOKUP(Tables[[#This Row],[ColumnName]],Table5[#All],2)</f>
        <v>1</v>
      </c>
      <c r="G53" t="b">
        <f>IF(OR(Tables[IsCommonMetric]=TRUE,Tables[IsCommonField]=TRUE),TRUE,FALSE)</f>
        <v>0</v>
      </c>
      <c r="H53" t="b">
        <f>IF(VLOOKUP(Tables[[#This Row],[ColumnName]],Table4[TechnicalName],1)=Tables[[#This Row],[ColumnName]],TRUE,FALSE)</f>
        <v>0</v>
      </c>
      <c r="I5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4" spans="1:9" x14ac:dyDescent="0.25">
      <c r="A54" t="s">
        <v>199</v>
      </c>
      <c r="B54" t="s">
        <v>200</v>
      </c>
      <c r="C54" t="s">
        <v>69</v>
      </c>
      <c r="D54" t="s">
        <v>70</v>
      </c>
      <c r="E54" t="b">
        <f>IF(Tables[[#This Row],[ColumnType]]="Decimal",TRUE,FALSE)</f>
        <v>0</v>
      </c>
      <c r="F54" t="b">
        <f>VLOOKUP(Tables[[#This Row],[ColumnName]],Table5[#All],2)</f>
        <v>1</v>
      </c>
      <c r="G54" t="b">
        <f>IF(OR(Tables[IsCommonMetric]=TRUE,Tables[IsCommonField]=TRUE),TRUE,FALSE)</f>
        <v>0</v>
      </c>
      <c r="H54" t="b">
        <f>IF(VLOOKUP(Tables[[#This Row],[ColumnName]],Table4[TechnicalName],1)=Tables[[#This Row],[ColumnName]],TRUE,FALSE)</f>
        <v>0</v>
      </c>
      <c r="I5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5" spans="1:9" x14ac:dyDescent="0.25">
      <c r="A55" t="s">
        <v>199</v>
      </c>
      <c r="B55" t="s">
        <v>200</v>
      </c>
      <c r="C55" t="s">
        <v>68</v>
      </c>
      <c r="D55" t="s">
        <v>8</v>
      </c>
      <c r="E55" t="b">
        <f>IF(Tables[[#This Row],[ColumnType]]="Decimal",TRUE,FALSE)</f>
        <v>0</v>
      </c>
      <c r="F55" t="b">
        <f>VLOOKUP(Tables[[#This Row],[ColumnName]],Table5[#All],2)</f>
        <v>1</v>
      </c>
      <c r="G55" t="b">
        <f>IF(OR(Tables[IsCommonMetric]=TRUE,Tables[IsCommonField]=TRUE),TRUE,FALSE)</f>
        <v>0</v>
      </c>
      <c r="H55" t="b">
        <f>IF(VLOOKUP(Tables[[#This Row],[ColumnName]],Table4[TechnicalName],1)=Tables[[#This Row],[ColumnName]],TRUE,FALSE)</f>
        <v>0</v>
      </c>
      <c r="I5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6" spans="1:9" x14ac:dyDescent="0.25">
      <c r="A56" t="s">
        <v>199</v>
      </c>
      <c r="B56" t="s">
        <v>200</v>
      </c>
      <c r="C56" t="s">
        <v>48</v>
      </c>
      <c r="D56" t="s">
        <v>29</v>
      </c>
      <c r="E56" t="b">
        <f>IF(Tables[[#This Row],[ColumnType]]="Decimal",TRUE,FALSE)</f>
        <v>0</v>
      </c>
      <c r="F56" t="b">
        <f>VLOOKUP(Tables[[#This Row],[ColumnName]],Table5[#All],2)</f>
        <v>1</v>
      </c>
      <c r="G56" t="b">
        <f>IF(OR(Tables[IsCommonMetric]=TRUE,Tables[IsCommonField]=TRUE),TRUE,FALSE)</f>
        <v>0</v>
      </c>
      <c r="H56" t="b">
        <f>IF(VLOOKUP(Tables[[#This Row],[ColumnName]],Table4[TechnicalName],1)=Tables[[#This Row],[ColumnName]],TRUE,FALSE)</f>
        <v>0</v>
      </c>
      <c r="I5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7" spans="1:9" x14ac:dyDescent="0.25">
      <c r="A57" t="s">
        <v>199</v>
      </c>
      <c r="B57" t="s">
        <v>200</v>
      </c>
      <c r="C57" t="s">
        <v>47</v>
      </c>
      <c r="D57" t="s">
        <v>29</v>
      </c>
      <c r="E57" t="b">
        <f>IF(Tables[[#This Row],[ColumnType]]="Decimal",TRUE,FALSE)</f>
        <v>0</v>
      </c>
      <c r="F57" t="b">
        <f>VLOOKUP(Tables[[#This Row],[ColumnName]],Table5[#All],2)</f>
        <v>1</v>
      </c>
      <c r="G57" t="b">
        <f>IF(OR(Tables[IsCommonMetric]=TRUE,Tables[IsCommonField]=TRUE),TRUE,FALSE)</f>
        <v>0</v>
      </c>
      <c r="H57" t="b">
        <f>IF(VLOOKUP(Tables[[#This Row],[ColumnName]],Table4[TechnicalName],1)=Tables[[#This Row],[ColumnName]],TRUE,FALSE)</f>
        <v>0</v>
      </c>
      <c r="I5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8" spans="1:9" x14ac:dyDescent="0.25">
      <c r="A58" t="s">
        <v>199</v>
      </c>
      <c r="B58" t="s">
        <v>200</v>
      </c>
      <c r="C58" t="s">
        <v>67</v>
      </c>
      <c r="D58" t="s">
        <v>8</v>
      </c>
      <c r="E58" t="b">
        <f>IF(Tables[[#This Row],[ColumnType]]="Decimal",TRUE,FALSE)</f>
        <v>0</v>
      </c>
      <c r="F58" t="b">
        <f>VLOOKUP(Tables[[#This Row],[ColumnName]],Table5[#All],2)</f>
        <v>1</v>
      </c>
      <c r="G58" t="b">
        <f>IF(OR(Tables[IsCommonMetric]=TRUE,Tables[IsCommonField]=TRUE),TRUE,FALSE)</f>
        <v>0</v>
      </c>
      <c r="H58" t="b">
        <f>IF(VLOOKUP(Tables[[#This Row],[ColumnName]],Table4[TechnicalName],1)=Tables[[#This Row],[ColumnName]],TRUE,FALSE)</f>
        <v>0</v>
      </c>
      <c r="I5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59" spans="1:9" x14ac:dyDescent="0.25">
      <c r="A59" t="s">
        <v>199</v>
      </c>
      <c r="B59" t="s">
        <v>200</v>
      </c>
      <c r="C59" t="s">
        <v>41</v>
      </c>
      <c r="D59" t="s">
        <v>8</v>
      </c>
      <c r="E59" t="b">
        <f>IF(Tables[[#This Row],[ColumnType]]="Decimal",TRUE,FALSE)</f>
        <v>0</v>
      </c>
      <c r="F59" t="b">
        <f>VLOOKUP(Tables[[#This Row],[ColumnName]],Table5[#All],2)</f>
        <v>1</v>
      </c>
      <c r="G59" t="b">
        <f>IF(OR(Tables[IsCommonMetric]=TRUE,Tables[IsCommonField]=TRUE),TRUE,FALSE)</f>
        <v>0</v>
      </c>
      <c r="H59" t="b">
        <f>IF(VLOOKUP(Tables[[#This Row],[ColumnName]],Table4[TechnicalName],1)=Tables[[#This Row],[ColumnName]],TRUE,FALSE)</f>
        <v>0</v>
      </c>
      <c r="I5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0" spans="1:9" x14ac:dyDescent="0.25">
      <c r="A60" t="s">
        <v>199</v>
      </c>
      <c r="B60" t="s">
        <v>200</v>
      </c>
      <c r="C60" t="s">
        <v>56</v>
      </c>
      <c r="D60" t="s">
        <v>8</v>
      </c>
      <c r="E60" t="b">
        <f>IF(Tables[[#This Row],[ColumnType]]="Decimal",TRUE,FALSE)</f>
        <v>0</v>
      </c>
      <c r="F60" t="b">
        <f>VLOOKUP(Tables[[#This Row],[ColumnName]],Table5[#All],2)</f>
        <v>0</v>
      </c>
      <c r="G60" t="b">
        <f>IF(OR(Tables[IsCommonMetric]=TRUE,Tables[IsCommonField]=TRUE),TRUE,FALSE)</f>
        <v>0</v>
      </c>
      <c r="H60" t="b">
        <f>IF(VLOOKUP(Tables[[#This Row],[ColumnName]],Table4[TechnicalName],1)=Tables[[#This Row],[ColumnName]],TRUE,FALSE)</f>
        <v>0</v>
      </c>
      <c r="I6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1" spans="1:9" x14ac:dyDescent="0.25">
      <c r="A61" t="s">
        <v>199</v>
      </c>
      <c r="B61" t="s">
        <v>200</v>
      </c>
      <c r="C61" t="s">
        <v>44</v>
      </c>
      <c r="D61" t="s">
        <v>8</v>
      </c>
      <c r="E61" t="b">
        <f>IF(Tables[[#This Row],[ColumnType]]="Decimal",TRUE,FALSE)</f>
        <v>0</v>
      </c>
      <c r="F61" t="b">
        <f>VLOOKUP(Tables[[#This Row],[ColumnName]],Table5[#All],2)</f>
        <v>0</v>
      </c>
      <c r="G61" t="b">
        <f>IF(OR(Tables[IsCommonMetric]=TRUE,Tables[IsCommonField]=TRUE),TRUE,FALSE)</f>
        <v>1</v>
      </c>
      <c r="H61" t="b">
        <f>IF(VLOOKUP(Tables[[#This Row],[ColumnName]],Table4[TechnicalName],1)=Tables[[#This Row],[ColumnName]],TRUE,FALSE)</f>
        <v>0</v>
      </c>
      <c r="I61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62" spans="1:9" x14ac:dyDescent="0.25">
      <c r="A62" t="s">
        <v>199</v>
      </c>
      <c r="B62" t="s">
        <v>200</v>
      </c>
      <c r="C62" t="s">
        <v>34</v>
      </c>
      <c r="D62" t="s">
        <v>8</v>
      </c>
      <c r="E62" t="b">
        <f>IF(Tables[[#This Row],[ColumnType]]="Decimal",TRUE,FALSE)</f>
        <v>0</v>
      </c>
      <c r="F62" t="b">
        <f>VLOOKUP(Tables[[#This Row],[ColumnName]],Table5[#All],2)</f>
        <v>0</v>
      </c>
      <c r="G62" t="b">
        <f>IF(OR(Tables[IsCommonMetric]=TRUE,Tables[IsCommonField]=TRUE),TRUE,FALSE)</f>
        <v>0</v>
      </c>
      <c r="H62" t="b">
        <f>IF(VLOOKUP(Tables[[#This Row],[ColumnName]],Table4[TechnicalName],1)=Tables[[#This Row],[ColumnName]],TRUE,FALSE)</f>
        <v>0</v>
      </c>
      <c r="I6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3" spans="1:9" x14ac:dyDescent="0.25">
      <c r="A63" t="s">
        <v>199</v>
      </c>
      <c r="B63" t="s">
        <v>200</v>
      </c>
      <c r="C63" t="s">
        <v>65</v>
      </c>
      <c r="D63" t="s">
        <v>8</v>
      </c>
      <c r="E63" t="b">
        <f>IF(Tables[[#This Row],[ColumnType]]="Decimal",TRUE,FALSE)</f>
        <v>0</v>
      </c>
      <c r="F63" t="b">
        <f>VLOOKUP(Tables[[#This Row],[ColumnName]],Table5[#All],2)</f>
        <v>0</v>
      </c>
      <c r="G63" t="b">
        <f>IF(OR(Tables[IsCommonMetric]=TRUE,Tables[IsCommonField]=TRUE),TRUE,FALSE)</f>
        <v>0</v>
      </c>
      <c r="H63" t="b">
        <f>IF(VLOOKUP(Tables[[#This Row],[ColumnName]],Table4[TechnicalName],1)=Tables[[#This Row],[ColumnName]],TRUE,FALSE)</f>
        <v>0</v>
      </c>
      <c r="I6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4" spans="1:9" x14ac:dyDescent="0.25">
      <c r="A64" t="s">
        <v>39</v>
      </c>
      <c r="B64" t="s">
        <v>40</v>
      </c>
      <c r="C64" t="s">
        <v>141</v>
      </c>
      <c r="D64" t="s">
        <v>50</v>
      </c>
      <c r="E64" t="b">
        <f>IF(Tables[[#This Row],[ColumnType]]="Decimal",TRUE,FALSE)</f>
        <v>1</v>
      </c>
      <c r="F64" t="b">
        <f>VLOOKUP(Tables[[#This Row],[ColumnName]],Table5[#All],2)</f>
        <v>1</v>
      </c>
      <c r="G64" t="b">
        <f>IF(OR(Tables[IsCommonMetric]=TRUE,Tables[IsCommonField]=TRUE),TRUE,FALSE)</f>
        <v>0</v>
      </c>
      <c r="H64" t="b">
        <f>IF(IF(ISERROR(VLOOKUP(Tables[[#This Row],[ColumnName]],Table4[TechnicalName],1)),"NOTFOUND",VLOOKUP(Tables[[#This Row],[ColumnName]],Table4[TechnicalName],1))=Tables[[#This Row],[ColumnName]],TRUE,FALSE)</f>
        <v>0</v>
      </c>
      <c r="I6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5" spans="1:9" x14ac:dyDescent="0.25">
      <c r="A65" t="s">
        <v>39</v>
      </c>
      <c r="B65" t="s">
        <v>40</v>
      </c>
      <c r="C65" t="s">
        <v>142</v>
      </c>
      <c r="D65" t="s">
        <v>50</v>
      </c>
      <c r="E65" t="b">
        <f>IF(Tables[[#This Row],[ColumnType]]="Decimal",TRUE,FALSE)</f>
        <v>1</v>
      </c>
      <c r="F65" t="b">
        <f>VLOOKUP(Tables[[#This Row],[ColumnName]],Table5[#All],2)</f>
        <v>1</v>
      </c>
      <c r="G65" t="b">
        <f>IF(OR(Tables[IsCommonMetric]=TRUE,Tables[IsCommonField]=TRUE),TRUE,FALSE)</f>
        <v>0</v>
      </c>
      <c r="H65" t="b">
        <f>IF(IF(ISERROR(VLOOKUP(Tables[[#This Row],[ColumnName]],Table4[TechnicalName],1)),"NOTFOUND",VLOOKUP(Tables[[#This Row],[ColumnName]],Table4[TechnicalName],1))=Tables[[#This Row],[ColumnName]],TRUE,FALSE)</f>
        <v>0</v>
      </c>
      <c r="I6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6" spans="1:9" x14ac:dyDescent="0.25">
      <c r="A66" t="s">
        <v>39</v>
      </c>
      <c r="B66" t="s">
        <v>40</v>
      </c>
      <c r="C66" t="s">
        <v>109</v>
      </c>
      <c r="D66" t="s">
        <v>50</v>
      </c>
      <c r="E66" t="b">
        <f>IF(Tables[[#This Row],[ColumnType]]="Decimal",TRUE,FALSE)</f>
        <v>1</v>
      </c>
      <c r="F66" t="b">
        <f>VLOOKUP(Tables[[#This Row],[ColumnName]],Table5[#All],2)</f>
        <v>1</v>
      </c>
      <c r="G66" t="b">
        <f>IF(OR(Tables[IsCommonMetric]=TRUE,Tables[IsCommonField]=TRUE),TRUE,FALSE)</f>
        <v>0</v>
      </c>
      <c r="H66" t="b">
        <f>IF(IF(ISERROR(VLOOKUP(Tables[[#This Row],[ColumnName]],Table4[TechnicalName],1)),"NOTFOUND",VLOOKUP(Tables[[#This Row],[ColumnName]],Table4[TechnicalName],1))=Tables[[#This Row],[ColumnName]],TRUE,FALSE)</f>
        <v>0</v>
      </c>
      <c r="I6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7" spans="1:9" x14ac:dyDescent="0.25">
      <c r="A67" t="s">
        <v>39</v>
      </c>
      <c r="B67" t="s">
        <v>40</v>
      </c>
      <c r="C67" t="s">
        <v>110</v>
      </c>
      <c r="D67" t="s">
        <v>50</v>
      </c>
      <c r="E67" t="b">
        <f>IF(Tables[[#This Row],[ColumnType]]="Decimal",TRUE,FALSE)</f>
        <v>1</v>
      </c>
      <c r="F67" t="b">
        <f>VLOOKUP(Tables[[#This Row],[ColumnName]],Table5[#All],2)</f>
        <v>1</v>
      </c>
      <c r="G67" t="b">
        <f>IF(OR(Tables[IsCommonMetric]=TRUE,Tables[IsCommonField]=TRUE),TRUE,FALSE)</f>
        <v>0</v>
      </c>
      <c r="H67" t="b">
        <f>IF(IF(ISERROR(VLOOKUP(Tables[[#This Row],[ColumnName]],Table4[TechnicalName],1)),"NOTFOUND",VLOOKUP(Tables[[#This Row],[ColumnName]],Table4[TechnicalName],1))=Tables[[#This Row],[ColumnName]],TRUE,FALSE)</f>
        <v>0</v>
      </c>
      <c r="I6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8" spans="1:9" x14ac:dyDescent="0.25">
      <c r="A68" t="s">
        <v>39</v>
      </c>
      <c r="B68" t="s">
        <v>40</v>
      </c>
      <c r="C68" t="s">
        <v>114</v>
      </c>
      <c r="D68" t="s">
        <v>50</v>
      </c>
      <c r="E68" t="b">
        <f>IF(Tables[[#This Row],[ColumnType]]="Decimal",TRUE,FALSE)</f>
        <v>1</v>
      </c>
      <c r="F68" t="b">
        <f>VLOOKUP(Tables[[#This Row],[ColumnName]],Table5[#All],2)</f>
        <v>1</v>
      </c>
      <c r="G68" t="b">
        <f>IF(OR(Tables[IsCommonMetric]=TRUE,Tables[IsCommonField]=TRUE),TRUE,FALSE)</f>
        <v>1</v>
      </c>
      <c r="H68" t="b">
        <f>IF(IF(ISERROR(VLOOKUP(Tables[[#This Row],[ColumnName]],Table4[TechnicalName],1)),"NOTFOUND",VLOOKUP(Tables[[#This Row],[ColumnName]],Table4[TechnicalName],1))=Tables[[#This Row],[ColumnName]],TRUE,FALSE)</f>
        <v>1</v>
      </c>
      <c r="I6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69" spans="1:9" x14ac:dyDescent="0.25">
      <c r="A69" t="s">
        <v>39</v>
      </c>
      <c r="B69" t="s">
        <v>40</v>
      </c>
      <c r="C69" t="s">
        <v>115</v>
      </c>
      <c r="D69" t="s">
        <v>50</v>
      </c>
      <c r="E69" t="b">
        <f>IF(Tables[[#This Row],[ColumnType]]="Decimal",TRUE,FALSE)</f>
        <v>1</v>
      </c>
      <c r="F69" t="b">
        <f>VLOOKUP(Tables[[#This Row],[ColumnName]],Table5[#All],2)</f>
        <v>1</v>
      </c>
      <c r="G69" t="b">
        <f>IF(OR(Tables[IsCommonMetric]=TRUE,Tables[IsCommonField]=TRUE),TRUE,FALSE)</f>
        <v>0</v>
      </c>
      <c r="H69" t="b">
        <f>IF(IF(ISERROR(VLOOKUP(Tables[[#This Row],[ColumnName]],Table4[TechnicalName],1)),"NOTFOUND",VLOOKUP(Tables[[#This Row],[ColumnName]],Table4[TechnicalName],1))=Tables[[#This Row],[ColumnName]],TRUE,FALSE)</f>
        <v>0</v>
      </c>
      <c r="I6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0" spans="1:9" x14ac:dyDescent="0.25">
      <c r="A70" t="s">
        <v>39</v>
      </c>
      <c r="B70" t="s">
        <v>40</v>
      </c>
      <c r="C70" t="s">
        <v>197</v>
      </c>
      <c r="D70" t="s">
        <v>50</v>
      </c>
      <c r="E70" t="b">
        <f>IF(Tables[[#This Row],[ColumnType]]="Decimal",TRUE,FALSE)</f>
        <v>1</v>
      </c>
      <c r="F70" t="b">
        <f>VLOOKUP(Tables[[#This Row],[ColumnName]],Table5[#All],2)</f>
        <v>1</v>
      </c>
      <c r="G70" t="b">
        <f>IF(OR(Tables[IsCommonMetric]=TRUE,Tables[IsCommonField]=TRUE),TRUE,FALSE)</f>
        <v>0</v>
      </c>
      <c r="H70" t="b">
        <f>IF(IF(ISERROR(VLOOKUP(Tables[[#This Row],[ColumnName]],Table4[TechnicalName],1)),"NOTFOUND",VLOOKUP(Tables[[#This Row],[ColumnName]],Table4[TechnicalName],1))=Tables[[#This Row],[ColumnName]],TRUE,FALSE)</f>
        <v>0</v>
      </c>
      <c r="I7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1" spans="1:9" x14ac:dyDescent="0.25">
      <c r="A71" t="s">
        <v>39</v>
      </c>
      <c r="B71" t="s">
        <v>40</v>
      </c>
      <c r="C71" t="s">
        <v>103</v>
      </c>
      <c r="D71" t="s">
        <v>50</v>
      </c>
      <c r="E71" t="b">
        <f>IF(Tables[[#This Row],[ColumnType]]="Decimal",TRUE,FALSE)</f>
        <v>1</v>
      </c>
      <c r="F71" t="b">
        <f>VLOOKUP(Tables[[#This Row],[ColumnName]],Table5[#All],2)</f>
        <v>1</v>
      </c>
      <c r="G71" t="b">
        <f>IF(OR(Tables[IsCommonMetric]=TRUE,Tables[IsCommonField]=TRUE),TRUE,FALSE)</f>
        <v>1</v>
      </c>
      <c r="H71" t="b">
        <f>IF(IF(ISERROR(VLOOKUP(Tables[[#This Row],[ColumnName]],Table4[TechnicalName],1)),"NOTFOUND",VLOOKUP(Tables[[#This Row],[ColumnName]],Table4[TechnicalName],1))=Tables[[#This Row],[ColumnName]],TRUE,FALSE)</f>
        <v>1</v>
      </c>
      <c r="I7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2" spans="1:9" x14ac:dyDescent="0.25">
      <c r="A72" t="s">
        <v>39</v>
      </c>
      <c r="B72" t="s">
        <v>40</v>
      </c>
      <c r="C72" t="s">
        <v>104</v>
      </c>
      <c r="D72" t="s">
        <v>50</v>
      </c>
      <c r="E72" t="b">
        <f>IF(Tables[[#This Row],[ColumnType]]="Decimal",TRUE,FALSE)</f>
        <v>1</v>
      </c>
      <c r="F72" t="b">
        <f>VLOOKUP(Tables[[#This Row],[ColumnName]],Table5[#All],2)</f>
        <v>1</v>
      </c>
      <c r="G72" t="b">
        <f>IF(OR(Tables[IsCommonMetric]=TRUE,Tables[IsCommonField]=TRUE),TRUE,FALSE)</f>
        <v>0</v>
      </c>
      <c r="H72" t="b">
        <f>IF(IF(ISERROR(VLOOKUP(Tables[[#This Row],[ColumnName]],Table4[TechnicalName],1)),"NOTFOUND",VLOOKUP(Tables[[#This Row],[ColumnName]],Table4[TechnicalName],1))=Tables[[#This Row],[ColumnName]],TRUE,FALSE)</f>
        <v>0</v>
      </c>
      <c r="I7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3" spans="1:9" x14ac:dyDescent="0.25">
      <c r="A73" t="s">
        <v>39</v>
      </c>
      <c r="B73" t="s">
        <v>40</v>
      </c>
      <c r="C73" t="s">
        <v>105</v>
      </c>
      <c r="D73" t="s">
        <v>50</v>
      </c>
      <c r="E73" t="b">
        <f>IF(Tables[[#This Row],[ColumnType]]="Decimal",TRUE,FALSE)</f>
        <v>1</v>
      </c>
      <c r="F73" t="b">
        <f>VLOOKUP(Tables[[#This Row],[ColumnName]],Table5[#All],2)</f>
        <v>1</v>
      </c>
      <c r="G73" t="b">
        <f>IF(OR(Tables[IsCommonMetric]=TRUE,Tables[IsCommonField]=TRUE),TRUE,FALSE)</f>
        <v>0</v>
      </c>
      <c r="H73" t="b">
        <f>IF(IF(ISERROR(VLOOKUP(Tables[[#This Row],[ColumnName]],Table4[TechnicalName],1)),"NOTFOUND",VLOOKUP(Tables[[#This Row],[ColumnName]],Table4[TechnicalName],1))=Tables[[#This Row],[ColumnName]],TRUE,FALSE)</f>
        <v>0</v>
      </c>
      <c r="I7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4" spans="1:9" x14ac:dyDescent="0.25">
      <c r="A74" t="s">
        <v>39</v>
      </c>
      <c r="B74" t="s">
        <v>40</v>
      </c>
      <c r="C74" t="s">
        <v>106</v>
      </c>
      <c r="D74" t="s">
        <v>50</v>
      </c>
      <c r="E74" t="b">
        <f>IF(Tables[[#This Row],[ColumnType]]="Decimal",TRUE,FALSE)</f>
        <v>1</v>
      </c>
      <c r="F74" t="b">
        <f>VLOOKUP(Tables[[#This Row],[ColumnName]],Table5[#All],2)</f>
        <v>1</v>
      </c>
      <c r="G74" t="b">
        <f>IF(OR(Tables[IsCommonMetric]=TRUE,Tables[IsCommonField]=TRUE),TRUE,FALSE)</f>
        <v>0</v>
      </c>
      <c r="H74" t="b">
        <f>IF(IF(ISERROR(VLOOKUP(Tables[[#This Row],[ColumnName]],Table4[TechnicalName],1)),"NOTFOUND",VLOOKUP(Tables[[#This Row],[ColumnName]],Table4[TechnicalName],1))=Tables[[#This Row],[ColumnName]],TRUE,FALSE)</f>
        <v>0</v>
      </c>
      <c r="I7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5" spans="1:9" x14ac:dyDescent="0.25">
      <c r="A75" t="s">
        <v>39</v>
      </c>
      <c r="B75" t="s">
        <v>40</v>
      </c>
      <c r="C75" t="s">
        <v>87</v>
      </c>
      <c r="D75" t="s">
        <v>8</v>
      </c>
      <c r="E75" t="b">
        <f>IF(Tables[[#This Row],[ColumnType]]="Decimal",TRUE,FALSE)</f>
        <v>0</v>
      </c>
      <c r="F75" t="b">
        <f>VLOOKUP(Tables[[#This Row],[ColumnName]],Table5[#All],2)</f>
        <v>1</v>
      </c>
      <c r="G75" t="b">
        <f>IF(OR(Tables[IsCommonMetric]=TRUE,Tables[IsCommonField]=TRUE),TRUE,FALSE)</f>
        <v>0</v>
      </c>
      <c r="H75" t="b">
        <f>IF(VLOOKUP(Tables[[#This Row],[ColumnName]],Table4[TechnicalName],1)=Tables[[#This Row],[ColumnName]],TRUE,FALSE)</f>
        <v>0</v>
      </c>
      <c r="I7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6" spans="1:9" x14ac:dyDescent="0.25">
      <c r="A76" t="s">
        <v>39</v>
      </c>
      <c r="B76" t="s">
        <v>40</v>
      </c>
      <c r="C76" t="s">
        <v>88</v>
      </c>
      <c r="D76" t="s">
        <v>8</v>
      </c>
      <c r="E76" t="b">
        <f>IF(Tables[[#This Row],[ColumnType]]="Decimal",TRUE,FALSE)</f>
        <v>0</v>
      </c>
      <c r="F76" t="b">
        <f>VLOOKUP(Tables[[#This Row],[ColumnName]],Table5[#All],2)</f>
        <v>1</v>
      </c>
      <c r="G76" t="b">
        <f>IF(OR(Tables[IsCommonMetric]=TRUE,Tables[IsCommonField]=TRUE),TRUE,FALSE)</f>
        <v>0</v>
      </c>
      <c r="H76" t="b">
        <f>IF(VLOOKUP(Tables[[#This Row],[ColumnName]],Table4[TechnicalName],1)=Tables[[#This Row],[ColumnName]],TRUE,FALSE)</f>
        <v>0</v>
      </c>
      <c r="I7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7" spans="1:9" x14ac:dyDescent="0.25">
      <c r="A77" t="s">
        <v>39</v>
      </c>
      <c r="B77" t="s">
        <v>40</v>
      </c>
      <c r="C77" t="s">
        <v>131</v>
      </c>
      <c r="D77" t="s">
        <v>50</v>
      </c>
      <c r="E77" t="b">
        <f>IF(Tables[[#This Row],[ColumnType]]="Decimal",TRUE,FALSE)</f>
        <v>1</v>
      </c>
      <c r="F77" t="b">
        <f>VLOOKUP(Tables[[#This Row],[ColumnName]],Table5[#All],2)</f>
        <v>1</v>
      </c>
      <c r="G77" t="b">
        <f>IF(OR(Tables[IsCommonMetric]=TRUE,Tables[IsCommonField]=TRUE),TRUE,FALSE)</f>
        <v>0</v>
      </c>
      <c r="H77" t="b">
        <f>IF(IF(ISERROR(VLOOKUP(Tables[[#This Row],[ColumnName]],Table4[TechnicalName],1)),"NOTFOUND",VLOOKUP(Tables[[#This Row],[ColumnName]],Table4[TechnicalName],1))=Tables[[#This Row],[ColumnName]],TRUE,FALSE)</f>
        <v>0</v>
      </c>
      <c r="I7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8" spans="1:9" x14ac:dyDescent="0.25">
      <c r="A78" t="s">
        <v>39</v>
      </c>
      <c r="B78" t="s">
        <v>40</v>
      </c>
      <c r="C78" t="s">
        <v>132</v>
      </c>
      <c r="D78" t="s">
        <v>50</v>
      </c>
      <c r="E78" t="b">
        <f>IF(Tables[[#This Row],[ColumnType]]="Decimal",TRUE,FALSE)</f>
        <v>1</v>
      </c>
      <c r="F78" t="b">
        <f>VLOOKUP(Tables[[#This Row],[ColumnName]],Table5[#All],2)</f>
        <v>1</v>
      </c>
      <c r="G78" t="b">
        <f>IF(OR(Tables[IsCommonMetric]=TRUE,Tables[IsCommonField]=TRUE),TRUE,FALSE)</f>
        <v>0</v>
      </c>
      <c r="H78" t="b">
        <f>IF(IF(ISERROR(VLOOKUP(Tables[[#This Row],[ColumnName]],Table4[TechnicalName],1)),"NOTFOUND",VLOOKUP(Tables[[#This Row],[ColumnName]],Table4[TechnicalName],1))=Tables[[#This Row],[ColumnName]],TRUE,FALSE)</f>
        <v>0</v>
      </c>
      <c r="I7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79" spans="1:9" x14ac:dyDescent="0.25">
      <c r="A79" t="s">
        <v>199</v>
      </c>
      <c r="B79" t="s">
        <v>200</v>
      </c>
      <c r="C79" t="s">
        <v>49</v>
      </c>
      <c r="D79" t="s">
        <v>50</v>
      </c>
      <c r="E79" t="b">
        <f>IF(Tables[[#This Row],[ColumnType]]="Decimal",TRUE,FALSE)</f>
        <v>1</v>
      </c>
      <c r="F79" t="b">
        <f>VLOOKUP(Tables[[#This Row],[ColumnName]],Table5[#All],2)</f>
        <v>1</v>
      </c>
      <c r="G79" t="b">
        <f>IF(OR(Tables[IsCommonMetric]=TRUE,Tables[IsCommonField]=TRUE),TRUE,FALSE)</f>
        <v>0</v>
      </c>
      <c r="H79" t="b">
        <f>IF(IF(ISERROR(VLOOKUP(Tables[[#This Row],[ColumnName]],Table4[TechnicalName],1)),"NOTFOUND",VLOOKUP(Tables[[#This Row],[ColumnName]],Table4[TechnicalName],1))=Tables[[#This Row],[ColumnName]],TRUE,FALSE)</f>
        <v>0</v>
      </c>
      <c r="I7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0" spans="1:9" x14ac:dyDescent="0.25">
      <c r="A80" t="s">
        <v>39</v>
      </c>
      <c r="B80" t="s">
        <v>40</v>
      </c>
      <c r="C80" t="s">
        <v>49</v>
      </c>
      <c r="D80" t="s">
        <v>50</v>
      </c>
      <c r="E80" t="b">
        <f>IF(Tables[[#This Row],[ColumnType]]="Decimal",TRUE,FALSE)</f>
        <v>1</v>
      </c>
      <c r="F80" t="b">
        <f>VLOOKUP(Tables[[#This Row],[ColumnName]],Table5[#All],2)</f>
        <v>1</v>
      </c>
      <c r="G80" t="b">
        <f>IF(OR(Tables[IsCommonMetric]=TRUE,Tables[IsCommonField]=TRUE),TRUE,FALSE)</f>
        <v>0</v>
      </c>
      <c r="H80" t="b">
        <f>IF(IF(ISERROR(VLOOKUP(Tables[[#This Row],[ColumnName]],Table4[TechnicalName],1)),"NOTFOUND",VLOOKUP(Tables[[#This Row],[ColumnName]],Table4[TechnicalName],1))=Tables[[#This Row],[ColumnName]],TRUE,FALSE)</f>
        <v>0</v>
      </c>
      <c r="I8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1" spans="1:9" x14ac:dyDescent="0.25">
      <c r="A81" t="s">
        <v>39</v>
      </c>
      <c r="B81" t="s">
        <v>40</v>
      </c>
      <c r="C81" t="s">
        <v>90</v>
      </c>
      <c r="D81" t="s">
        <v>8</v>
      </c>
      <c r="E81" t="b">
        <f>IF(Tables[[#This Row],[ColumnType]]="Decimal",TRUE,FALSE)</f>
        <v>0</v>
      </c>
      <c r="F81" t="b">
        <f>VLOOKUP(Tables[[#This Row],[ColumnName]],Table5[#All],2)</f>
        <v>1</v>
      </c>
      <c r="G81" t="b">
        <f>IF(OR(Tables[IsCommonMetric]=TRUE,Tables[IsCommonField]=TRUE),TRUE,FALSE)</f>
        <v>0</v>
      </c>
      <c r="H81" t="b">
        <f>IF(VLOOKUP(Tables[[#This Row],[ColumnName]],Table4[TechnicalName],1)=Tables[[#This Row],[ColumnName]],TRUE,FALSE)</f>
        <v>0</v>
      </c>
      <c r="I8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2" spans="1:9" x14ac:dyDescent="0.25">
      <c r="A82" t="s">
        <v>39</v>
      </c>
      <c r="B82" t="s">
        <v>40</v>
      </c>
      <c r="C82" t="s">
        <v>58</v>
      </c>
      <c r="D82" t="s">
        <v>8</v>
      </c>
      <c r="E82" t="b">
        <f>IF(Tables[[#This Row],[ColumnType]]="Decimal",TRUE,FALSE)</f>
        <v>0</v>
      </c>
      <c r="F82" t="b">
        <f>VLOOKUP(Tables[[#This Row],[ColumnName]],Table5[#All],2)</f>
        <v>1</v>
      </c>
      <c r="G82" t="b">
        <f>IF(OR(Tables[IsCommonMetric]=TRUE,Tables[IsCommonField]=TRUE),TRUE,FALSE)</f>
        <v>0</v>
      </c>
      <c r="H82" t="b">
        <f>IF(VLOOKUP(Tables[[#This Row],[ColumnName]],Table4[TechnicalName],1)=Tables[[#This Row],[ColumnName]],TRUE,FALSE)</f>
        <v>0</v>
      </c>
      <c r="I8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3" spans="1:9" x14ac:dyDescent="0.25">
      <c r="A83" t="s">
        <v>39</v>
      </c>
      <c r="B83" t="s">
        <v>40</v>
      </c>
      <c r="C83" t="s">
        <v>59</v>
      </c>
      <c r="D83" t="s">
        <v>8</v>
      </c>
      <c r="E83" t="b">
        <f>IF(Tables[[#This Row],[ColumnType]]="Decimal",TRUE,FALSE)</f>
        <v>0</v>
      </c>
      <c r="F83" t="b">
        <f>VLOOKUP(Tables[[#This Row],[ColumnName]],Table5[#All],2)</f>
        <v>1</v>
      </c>
      <c r="G83" t="b">
        <f>IF(OR(Tables[IsCommonMetric]=TRUE,Tables[IsCommonField]=TRUE),TRUE,FALSE)</f>
        <v>0</v>
      </c>
      <c r="H83" t="b">
        <f>IF(VLOOKUP(Tables[[#This Row],[ColumnName]],Table4[TechnicalName],1)=Tables[[#This Row],[ColumnName]],TRUE,FALSE)</f>
        <v>0</v>
      </c>
      <c r="I8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4" spans="1:9" x14ac:dyDescent="0.25">
      <c r="A84" t="s">
        <v>39</v>
      </c>
      <c r="B84" t="s">
        <v>40</v>
      </c>
      <c r="C84" t="s">
        <v>60</v>
      </c>
      <c r="D84" t="s">
        <v>8</v>
      </c>
      <c r="E84" t="b">
        <f>IF(Tables[[#This Row],[ColumnType]]="Decimal",TRUE,FALSE)</f>
        <v>0</v>
      </c>
      <c r="F84" t="b">
        <f>VLOOKUP(Tables[[#This Row],[ColumnName]],Table5[#All],2)</f>
        <v>1</v>
      </c>
      <c r="G84" t="b">
        <f>IF(OR(Tables[IsCommonMetric]=TRUE,Tables[IsCommonField]=TRUE),TRUE,FALSE)</f>
        <v>0</v>
      </c>
      <c r="H84" t="b">
        <f>IF(VLOOKUP(Tables[[#This Row],[ColumnName]],Table4[TechnicalName],1)=Tables[[#This Row],[ColumnName]],TRUE,FALSE)</f>
        <v>0</v>
      </c>
      <c r="I8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5" spans="1:9" x14ac:dyDescent="0.25">
      <c r="A85" t="s">
        <v>39</v>
      </c>
      <c r="B85" t="s">
        <v>40</v>
      </c>
      <c r="C85" t="s">
        <v>46</v>
      </c>
      <c r="D85" t="s">
        <v>8</v>
      </c>
      <c r="E85" t="b">
        <f>IF(Tables[[#This Row],[ColumnType]]="Decimal",TRUE,FALSE)</f>
        <v>0</v>
      </c>
      <c r="F85" t="b">
        <f>VLOOKUP(Tables[[#This Row],[ColumnName]],Table5[#All],2)</f>
        <v>1</v>
      </c>
      <c r="G85" t="b">
        <f>IF(OR(Tables[IsCommonMetric]=TRUE,Tables[IsCommonField]=TRUE),TRUE,FALSE)</f>
        <v>0</v>
      </c>
      <c r="H85" t="b">
        <f>IF(VLOOKUP(Tables[[#This Row],[ColumnName]],Table4[TechnicalName],1)=Tables[[#This Row],[ColumnName]],TRUE,FALSE)</f>
        <v>0</v>
      </c>
      <c r="I8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6" spans="1:9" x14ac:dyDescent="0.25">
      <c r="A86" t="s">
        <v>199</v>
      </c>
      <c r="B86" t="s">
        <v>200</v>
      </c>
      <c r="C86" t="s">
        <v>51</v>
      </c>
      <c r="D86" t="s">
        <v>50</v>
      </c>
      <c r="E86" t="b">
        <f>IF(Tables[[#This Row],[ColumnType]]="Decimal",TRUE,FALSE)</f>
        <v>1</v>
      </c>
      <c r="F86" t="b">
        <f>VLOOKUP(Tables[[#This Row],[ColumnName]],Table5[#All],2)</f>
        <v>1</v>
      </c>
      <c r="G86" t="b">
        <f>IF(OR(Tables[IsCommonMetric]=TRUE,Tables[IsCommonField]=TRUE),TRUE,FALSE)</f>
        <v>0</v>
      </c>
      <c r="H86" t="b">
        <f>IF(IF(ISERROR(VLOOKUP(Tables[[#This Row],[ColumnName]],Table4[TechnicalName],1)),"NOTFOUND",VLOOKUP(Tables[[#This Row],[ColumnName]],Table4[TechnicalName],1))=Tables[[#This Row],[ColumnName]],TRUE,FALSE)</f>
        <v>0</v>
      </c>
      <c r="I8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7" spans="1:9" x14ac:dyDescent="0.25">
      <c r="A87" t="s">
        <v>39</v>
      </c>
      <c r="B87" t="s">
        <v>40</v>
      </c>
      <c r="C87" t="s">
        <v>51</v>
      </c>
      <c r="D87" t="s">
        <v>50</v>
      </c>
      <c r="E87" t="b">
        <f>IF(Tables[[#This Row],[ColumnType]]="Decimal",TRUE,FALSE)</f>
        <v>1</v>
      </c>
      <c r="F87" t="b">
        <f>VLOOKUP(Tables[[#This Row],[ColumnName]],Table5[#All],2)</f>
        <v>1</v>
      </c>
      <c r="G87" t="b">
        <f>IF(OR(Tables[IsCommonMetric]=TRUE,Tables[IsCommonField]=TRUE),TRUE,FALSE)</f>
        <v>0</v>
      </c>
      <c r="H87" t="b">
        <f>IF(IF(ISERROR(VLOOKUP(Tables[[#This Row],[ColumnName]],Table4[TechnicalName],1)),"NOTFOUND",VLOOKUP(Tables[[#This Row],[ColumnName]],Table4[TechnicalName],1))=Tables[[#This Row],[ColumnName]],TRUE,FALSE)</f>
        <v>0</v>
      </c>
      <c r="I8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8" spans="1:9" x14ac:dyDescent="0.25">
      <c r="A88" t="s">
        <v>39</v>
      </c>
      <c r="B88" t="s">
        <v>40</v>
      </c>
      <c r="C88" t="s">
        <v>74</v>
      </c>
      <c r="D88" t="s">
        <v>8</v>
      </c>
      <c r="E88" t="b">
        <f>IF(Tables[[#This Row],[ColumnType]]="Decimal",TRUE,FALSE)</f>
        <v>0</v>
      </c>
      <c r="F88" t="b">
        <f>VLOOKUP(Tables[[#This Row],[ColumnName]],Table5[#All],2)</f>
        <v>1</v>
      </c>
      <c r="G88" t="b">
        <f>IF(OR(Tables[IsCommonMetric]=TRUE,Tables[IsCommonField]=TRUE),TRUE,FALSE)</f>
        <v>0</v>
      </c>
      <c r="H88" t="b">
        <f>IF(VLOOKUP(Tables[[#This Row],[ColumnName]],Table4[TechnicalName],1)=Tables[[#This Row],[ColumnName]],TRUE,FALSE)</f>
        <v>0</v>
      </c>
      <c r="I8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89" spans="1:9" x14ac:dyDescent="0.25">
      <c r="A89" t="s">
        <v>39</v>
      </c>
      <c r="B89" t="s">
        <v>40</v>
      </c>
      <c r="C89" t="s">
        <v>45</v>
      </c>
      <c r="D89" t="s">
        <v>8</v>
      </c>
      <c r="E89" t="b">
        <f>IF(Tables[[#This Row],[ColumnType]]="Decimal",TRUE,FALSE)</f>
        <v>0</v>
      </c>
      <c r="F89" t="b">
        <f>VLOOKUP(Tables[[#This Row],[ColumnName]],Table5[#All],2)</f>
        <v>1</v>
      </c>
      <c r="G89" t="b">
        <f>IF(OR(Tables[IsCommonMetric]=TRUE,Tables[IsCommonField]=TRUE),TRUE,FALSE)</f>
        <v>0</v>
      </c>
      <c r="H89" t="b">
        <f>IF(VLOOKUP(Tables[[#This Row],[ColumnName]],Table4[TechnicalName],1)=Tables[[#This Row],[ColumnName]],TRUE,FALSE)</f>
        <v>0</v>
      </c>
      <c r="I8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0" spans="1:9" x14ac:dyDescent="0.25">
      <c r="A90" t="s">
        <v>39</v>
      </c>
      <c r="B90" t="s">
        <v>40</v>
      </c>
      <c r="C90" t="s">
        <v>64</v>
      </c>
      <c r="D90" t="s">
        <v>8</v>
      </c>
      <c r="E90" t="b">
        <f>IF(Tables[[#This Row],[ColumnType]]="Decimal",TRUE,FALSE)</f>
        <v>0</v>
      </c>
      <c r="F90" t="b">
        <f>VLOOKUP(Tables[[#This Row],[ColumnName]],Table5[#All],2)</f>
        <v>1</v>
      </c>
      <c r="G90" t="b">
        <f>IF(OR(Tables[IsCommonMetric]=TRUE,Tables[IsCommonField]=TRUE),TRUE,FALSE)</f>
        <v>0</v>
      </c>
      <c r="H90" t="b">
        <f>IF(VLOOKUP(Tables[[#This Row],[ColumnName]],Table4[TechnicalName],1)=Tables[[#This Row],[ColumnName]],TRUE,FALSE)</f>
        <v>0</v>
      </c>
      <c r="I9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1" spans="1:9" x14ac:dyDescent="0.25">
      <c r="A91" t="s">
        <v>39</v>
      </c>
      <c r="B91" t="s">
        <v>40</v>
      </c>
      <c r="C91" t="s">
        <v>92</v>
      </c>
      <c r="D91" t="s">
        <v>8</v>
      </c>
      <c r="E91" t="b">
        <f>IF(Tables[[#This Row],[ColumnType]]="Decimal",TRUE,FALSE)</f>
        <v>0</v>
      </c>
      <c r="F91" t="b">
        <f>VLOOKUP(Tables[[#This Row],[ColumnName]],Table5[#All],2)</f>
        <v>1</v>
      </c>
      <c r="G91" t="b">
        <f>IF(OR(Tables[IsCommonMetric]=TRUE,Tables[IsCommonField]=TRUE),TRUE,FALSE)</f>
        <v>0</v>
      </c>
      <c r="H91" t="b">
        <f>IF(VLOOKUP(Tables[[#This Row],[ColumnName]],Table4[TechnicalName],1)=Tables[[#This Row],[ColumnName]],TRUE,FALSE)</f>
        <v>0</v>
      </c>
      <c r="I9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2" spans="1:9" x14ac:dyDescent="0.25">
      <c r="A92" t="s">
        <v>39</v>
      </c>
      <c r="B92" t="s">
        <v>40</v>
      </c>
      <c r="C92" t="s">
        <v>43</v>
      </c>
      <c r="D92" t="s">
        <v>8</v>
      </c>
      <c r="E92" t="b">
        <f>IF(Tables[[#This Row],[ColumnType]]="Decimal",TRUE,FALSE)</f>
        <v>0</v>
      </c>
      <c r="F92" t="b">
        <f>VLOOKUP(Tables[[#This Row],[ColumnName]],Table5[#All],2)</f>
        <v>1</v>
      </c>
      <c r="G92" t="b">
        <f>IF(OR(Tables[IsCommonMetric]=TRUE,Tables[IsCommonField]=TRUE),TRUE,FALSE)</f>
        <v>1</v>
      </c>
      <c r="H92" t="b">
        <f>IF(VLOOKUP(Tables[[#This Row],[ColumnName]],Table4[TechnicalName],1)=Tables[[#This Row],[ColumnName]],TRUE,FALSE)</f>
        <v>0</v>
      </c>
      <c r="I92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93" spans="1:9" x14ac:dyDescent="0.25">
      <c r="A93" t="s">
        <v>39</v>
      </c>
      <c r="B93" t="s">
        <v>40</v>
      </c>
      <c r="C93" t="s">
        <v>54</v>
      </c>
      <c r="D93" t="s">
        <v>8</v>
      </c>
      <c r="E93" t="b">
        <f>IF(Tables[[#This Row],[ColumnType]]="Decimal",TRUE,FALSE)</f>
        <v>0</v>
      </c>
      <c r="F93" t="b">
        <f>VLOOKUP(Tables[[#This Row],[ColumnName]],Table5[#All],2)</f>
        <v>1</v>
      </c>
      <c r="G93" t="b">
        <f>IF(OR(Tables[IsCommonMetric]=TRUE,Tables[IsCommonField]=TRUE),TRUE,FALSE)</f>
        <v>1</v>
      </c>
      <c r="H93" t="b">
        <f>IF(VLOOKUP(Tables[[#This Row],[ColumnName]],Table4[TechnicalName],1)=Tables[[#This Row],[ColumnName]],TRUE,FALSE)</f>
        <v>0</v>
      </c>
      <c r="I93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94" spans="1:9" x14ac:dyDescent="0.25">
      <c r="A94" t="s">
        <v>39</v>
      </c>
      <c r="B94" t="s">
        <v>40</v>
      </c>
      <c r="C94" t="s">
        <v>53</v>
      </c>
      <c r="D94" t="s">
        <v>8</v>
      </c>
      <c r="E94" t="b">
        <f>IF(Tables[[#This Row],[ColumnType]]="Decimal",TRUE,FALSE)</f>
        <v>0</v>
      </c>
      <c r="F94" t="b">
        <f>VLOOKUP(Tables[[#This Row],[ColumnName]],Table5[#All],2)</f>
        <v>1</v>
      </c>
      <c r="G94" t="b">
        <f>IF(OR(Tables[IsCommonMetric]=TRUE,Tables[IsCommonField]=TRUE),TRUE,FALSE)</f>
        <v>1</v>
      </c>
      <c r="H94" t="b">
        <f>IF(VLOOKUP(Tables[[#This Row],[ColumnName]],Table4[TechnicalName],1)=Tables[[#This Row],[ColumnName]],TRUE,FALSE)</f>
        <v>0</v>
      </c>
      <c r="I94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95" spans="1:9" x14ac:dyDescent="0.25">
      <c r="A95" t="s">
        <v>39</v>
      </c>
      <c r="B95" t="s">
        <v>40</v>
      </c>
      <c r="C95" t="s">
        <v>157</v>
      </c>
      <c r="D95" t="s">
        <v>8</v>
      </c>
      <c r="E95" t="b">
        <f>IF(Tables[[#This Row],[ColumnType]]="Decimal",TRUE,FALSE)</f>
        <v>0</v>
      </c>
      <c r="F95" t="b">
        <f>VLOOKUP(Tables[[#This Row],[ColumnName]],Table5[#All],2)</f>
        <v>1</v>
      </c>
      <c r="G95" t="b">
        <f>IF(OR(Tables[IsCommonMetric]=TRUE,Tables[IsCommonField]=TRUE),TRUE,FALSE)</f>
        <v>0</v>
      </c>
      <c r="H95" t="b">
        <f>IF(VLOOKUP(Tables[[#This Row],[ColumnName]],Table4[TechnicalName],1)=Tables[[#This Row],[ColumnName]],TRUE,FALSE)</f>
        <v>0</v>
      </c>
      <c r="I9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6" spans="1:9" x14ac:dyDescent="0.25">
      <c r="A96" t="s">
        <v>39</v>
      </c>
      <c r="B96" t="s">
        <v>40</v>
      </c>
      <c r="C96" t="s">
        <v>119</v>
      </c>
      <c r="D96" t="s">
        <v>50</v>
      </c>
      <c r="E96" t="b">
        <f>IF(Tables[[#This Row],[ColumnType]]="Decimal",TRUE,FALSE)</f>
        <v>1</v>
      </c>
      <c r="F96" t="b">
        <f>VLOOKUP(Tables[[#This Row],[ColumnName]],Table5[#All],2)</f>
        <v>1</v>
      </c>
      <c r="G96" t="b">
        <f>IF(OR(Tables[IsCommonMetric]=TRUE,Tables[IsCommonField]=TRUE),TRUE,FALSE)</f>
        <v>1</v>
      </c>
      <c r="H96" t="b">
        <f>IF(IF(ISERROR(VLOOKUP(Tables[[#This Row],[ColumnName]],Table4[TechnicalName],1)),"NOTFOUND",VLOOKUP(Tables[[#This Row],[ColumnName]],Table4[TechnicalName],1))=Tables[[#This Row],[ColumnName]],TRUE,FALSE)</f>
        <v>1</v>
      </c>
      <c r="I9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7" spans="1:9" x14ac:dyDescent="0.25">
      <c r="A97" t="s">
        <v>39</v>
      </c>
      <c r="B97" t="s">
        <v>40</v>
      </c>
      <c r="C97" t="s">
        <v>120</v>
      </c>
      <c r="D97" t="s">
        <v>50</v>
      </c>
      <c r="E97" t="b">
        <f>IF(Tables[[#This Row],[ColumnType]]="Decimal",TRUE,FALSE)</f>
        <v>1</v>
      </c>
      <c r="F97" t="b">
        <f>VLOOKUP(Tables[[#This Row],[ColumnName]],Table5[#All],2)</f>
        <v>1</v>
      </c>
      <c r="G97" t="b">
        <f>IF(OR(Tables[IsCommonMetric]=TRUE,Tables[IsCommonField]=TRUE),TRUE,FALSE)</f>
        <v>0</v>
      </c>
      <c r="H97" t="b">
        <f>IF(IF(ISERROR(VLOOKUP(Tables[[#This Row],[ColumnName]],Table4[TechnicalName],1)),"NOTFOUND",VLOOKUP(Tables[[#This Row],[ColumnName]],Table4[TechnicalName],1))=Tables[[#This Row],[ColumnName]],TRUE,FALSE)</f>
        <v>0</v>
      </c>
      <c r="I9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8" spans="1:9" x14ac:dyDescent="0.25">
      <c r="A98" t="s">
        <v>39</v>
      </c>
      <c r="B98" t="s">
        <v>40</v>
      </c>
      <c r="C98" t="s">
        <v>36</v>
      </c>
      <c r="D98" t="s">
        <v>8</v>
      </c>
      <c r="E98" t="b">
        <f>IF(Tables[[#This Row],[ColumnType]]="Decimal",TRUE,FALSE)</f>
        <v>0</v>
      </c>
      <c r="F98" t="b">
        <f>VLOOKUP(Tables[[#This Row],[ColumnName]],Table5[#All],2)</f>
        <v>1</v>
      </c>
      <c r="G98" t="b">
        <f>IF(OR(Tables[IsCommonMetric]=TRUE,Tables[IsCommonField]=TRUE),TRUE,FALSE)</f>
        <v>0</v>
      </c>
      <c r="H98" t="b">
        <f>IF(VLOOKUP(Tables[[#This Row],[ColumnName]],Table4[TechnicalName],1)=Tables[[#This Row],[ColumnName]],TRUE,FALSE)</f>
        <v>0</v>
      </c>
      <c r="I9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99" spans="1:9" x14ac:dyDescent="0.25">
      <c r="A99" t="s">
        <v>39</v>
      </c>
      <c r="B99" t="s">
        <v>40</v>
      </c>
      <c r="C99" t="s">
        <v>160</v>
      </c>
      <c r="D99" t="s">
        <v>8</v>
      </c>
      <c r="E99" t="b">
        <f>IF(Tables[[#This Row],[ColumnType]]="Decimal",TRUE,FALSE)</f>
        <v>0</v>
      </c>
      <c r="F99" t="b">
        <f>VLOOKUP(Tables[[#This Row],[ColumnName]],Table5[#All],2)</f>
        <v>1</v>
      </c>
      <c r="G99" t="b">
        <f>IF(OR(Tables[IsCommonMetric]=TRUE,Tables[IsCommonField]=TRUE),TRUE,FALSE)</f>
        <v>0</v>
      </c>
      <c r="H99" t="b">
        <f>IF(VLOOKUP(Tables[[#This Row],[ColumnName]],Table4[TechnicalName],1)=Tables[[#This Row],[ColumnName]],TRUE,FALSE)</f>
        <v>0</v>
      </c>
      <c r="I9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0" spans="1:9" x14ac:dyDescent="0.25">
      <c r="A100" t="s">
        <v>39</v>
      </c>
      <c r="B100" t="s">
        <v>40</v>
      </c>
      <c r="C100" t="s">
        <v>151</v>
      </c>
      <c r="D100" t="s">
        <v>8</v>
      </c>
      <c r="E100" t="b">
        <f>IF(Tables[[#This Row],[ColumnType]]="Decimal",TRUE,FALSE)</f>
        <v>0</v>
      </c>
      <c r="F100" t="b">
        <f>VLOOKUP(Tables[[#This Row],[ColumnName]],Table5[#All],2)</f>
        <v>1</v>
      </c>
      <c r="G100" t="b">
        <f>IF(OR(Tables[IsCommonMetric]=TRUE,Tables[IsCommonField]=TRUE),TRUE,FALSE)</f>
        <v>0</v>
      </c>
      <c r="H100" t="b">
        <f>IF(VLOOKUP(Tables[[#This Row],[ColumnName]],Table4[TechnicalName],1)=Tables[[#This Row],[ColumnName]],TRUE,FALSE)</f>
        <v>0</v>
      </c>
      <c r="I10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1" spans="1:9" x14ac:dyDescent="0.25">
      <c r="A101" t="s">
        <v>39</v>
      </c>
      <c r="B101" t="s">
        <v>40</v>
      </c>
      <c r="C101" t="s">
        <v>89</v>
      </c>
      <c r="D101" t="s">
        <v>8</v>
      </c>
      <c r="E101" t="b">
        <f>IF(Tables[[#This Row],[ColumnType]]="Decimal",TRUE,FALSE)</f>
        <v>0</v>
      </c>
      <c r="F101" t="b">
        <f>VLOOKUP(Tables[[#This Row],[ColumnName]],Table5[#All],2)</f>
        <v>1</v>
      </c>
      <c r="G101" t="b">
        <f>IF(OR(Tables[IsCommonMetric]=TRUE,Tables[IsCommonField]=TRUE),TRUE,FALSE)</f>
        <v>0</v>
      </c>
      <c r="H101" t="b">
        <f>IF(VLOOKUP(Tables[[#This Row],[ColumnName]],Table4[TechnicalName],1)=Tables[[#This Row],[ColumnName]],TRUE,FALSE)</f>
        <v>0</v>
      </c>
      <c r="I10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2" spans="1:9" x14ac:dyDescent="0.25">
      <c r="A102" t="s">
        <v>39</v>
      </c>
      <c r="B102" t="s">
        <v>40</v>
      </c>
      <c r="C102" t="s">
        <v>154</v>
      </c>
      <c r="D102" t="s">
        <v>8</v>
      </c>
      <c r="E102" t="b">
        <f>IF(Tables[[#This Row],[ColumnType]]="Decimal",TRUE,FALSE)</f>
        <v>0</v>
      </c>
      <c r="F102" t="b">
        <f>VLOOKUP(Tables[[#This Row],[ColumnName]],Table5[#All],2)</f>
        <v>1</v>
      </c>
      <c r="G102" t="b">
        <f>IF(OR(Tables[IsCommonMetric]=TRUE,Tables[IsCommonField]=TRUE),TRUE,FALSE)</f>
        <v>0</v>
      </c>
      <c r="H102" t="b">
        <f>IF(VLOOKUP(Tables[[#This Row],[ColumnName]],Table4[TechnicalName],1)=Tables[[#This Row],[ColumnName]],TRUE,FALSE)</f>
        <v>0</v>
      </c>
      <c r="I10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3" spans="1:9" x14ac:dyDescent="0.25">
      <c r="A103" t="s">
        <v>39</v>
      </c>
      <c r="B103" t="s">
        <v>40</v>
      </c>
      <c r="C103" t="s">
        <v>135</v>
      </c>
      <c r="D103" t="s">
        <v>50</v>
      </c>
      <c r="E103" t="b">
        <f>IF(Tables[[#This Row],[ColumnType]]="Decimal",TRUE,FALSE)</f>
        <v>1</v>
      </c>
      <c r="F103" t="b">
        <f>VLOOKUP(Tables[[#This Row],[ColumnName]],Table5[#All],2)</f>
        <v>1</v>
      </c>
      <c r="G103" t="b">
        <f>IF(OR(Tables[IsCommonMetric]=TRUE,Tables[IsCommonField]=TRUE),TRUE,FALSE)</f>
        <v>0</v>
      </c>
      <c r="H103" t="b">
        <f>IF(IF(ISERROR(VLOOKUP(Tables[[#This Row],[ColumnName]],Table4[TechnicalName],1)),"NOTFOUND",VLOOKUP(Tables[[#This Row],[ColumnName]],Table4[TechnicalName],1))=Tables[[#This Row],[ColumnName]],TRUE,FALSE)</f>
        <v>0</v>
      </c>
      <c r="I10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4" spans="1:9" x14ac:dyDescent="0.25">
      <c r="A104" t="s">
        <v>39</v>
      </c>
      <c r="B104" t="s">
        <v>40</v>
      </c>
      <c r="C104" t="s">
        <v>136</v>
      </c>
      <c r="D104" t="s">
        <v>50</v>
      </c>
      <c r="E104" t="b">
        <f>IF(Tables[[#This Row],[ColumnType]]="Decimal",TRUE,FALSE)</f>
        <v>1</v>
      </c>
      <c r="F104" t="b">
        <f>VLOOKUP(Tables[[#This Row],[ColumnName]],Table5[#All],2)</f>
        <v>1</v>
      </c>
      <c r="G104" t="b">
        <f>IF(OR(Tables[IsCommonMetric]=TRUE,Tables[IsCommonField]=TRUE),TRUE,FALSE)</f>
        <v>0</v>
      </c>
      <c r="H104" t="b">
        <f>IF(IF(ISERROR(VLOOKUP(Tables[[#This Row],[ColumnName]],Table4[TechnicalName],1)),"NOTFOUND",VLOOKUP(Tables[[#This Row],[ColumnName]],Table4[TechnicalName],1))=Tables[[#This Row],[ColumnName]],TRUE,FALSE)</f>
        <v>0</v>
      </c>
      <c r="I10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5" spans="1:9" x14ac:dyDescent="0.25">
      <c r="A105" t="s">
        <v>39</v>
      </c>
      <c r="B105" t="s">
        <v>40</v>
      </c>
      <c r="C105" t="s">
        <v>66</v>
      </c>
      <c r="D105" t="s">
        <v>29</v>
      </c>
      <c r="E105" t="b">
        <f>IF(Tables[[#This Row],[ColumnType]]="Decimal",TRUE,FALSE)</f>
        <v>0</v>
      </c>
      <c r="F105" t="b">
        <f>VLOOKUP(Tables[[#This Row],[ColumnName]],Table5[#All],2)</f>
        <v>1</v>
      </c>
      <c r="G105" t="b">
        <f>IF(OR(Tables[IsCommonMetric]=TRUE,Tables[IsCommonField]=TRUE),TRUE,FALSE)</f>
        <v>0</v>
      </c>
      <c r="H105" t="b">
        <f>IF(VLOOKUP(Tables[[#This Row],[ColumnName]],Table4[TechnicalName],1)=Tables[[#This Row],[ColumnName]],TRUE,FALSE)</f>
        <v>0</v>
      </c>
      <c r="I10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6" spans="1:9" x14ac:dyDescent="0.25">
      <c r="A106" t="s">
        <v>39</v>
      </c>
      <c r="B106" t="s">
        <v>40</v>
      </c>
      <c r="C106" t="s">
        <v>175</v>
      </c>
      <c r="D106" t="s">
        <v>50</v>
      </c>
      <c r="E106" t="b">
        <f>IF(Tables[[#This Row],[ColumnType]]="Decimal",TRUE,FALSE)</f>
        <v>1</v>
      </c>
      <c r="F106" t="b">
        <f>VLOOKUP(Tables[[#This Row],[ColumnName]],Table5[#All],2)</f>
        <v>0</v>
      </c>
      <c r="G106" t="b">
        <f>IF(OR(Tables[IsCommonMetric]=TRUE,Tables[IsCommonField]=TRUE),TRUE,FALSE)</f>
        <v>1</v>
      </c>
      <c r="H106" t="b">
        <f>IF(IF(ISERROR(VLOOKUP(Tables[[#This Row],[ColumnName]],Table4[TechnicalName],1)),"NOTFOUND",VLOOKUP(Tables[[#This Row],[ColumnName]],Table4[TechnicalName],1))=Tables[[#This Row],[ColumnName]],TRUE,FALSE)</f>
        <v>1</v>
      </c>
      <c r="I10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7" spans="1:9" x14ac:dyDescent="0.25">
      <c r="A107" t="s">
        <v>39</v>
      </c>
      <c r="B107" t="s">
        <v>40</v>
      </c>
      <c r="C107" t="s">
        <v>178</v>
      </c>
      <c r="D107" t="s">
        <v>8</v>
      </c>
      <c r="E107" t="b">
        <f>IF(Tables[[#This Row],[ColumnType]]="Decimal",TRUE,FALSE)</f>
        <v>0</v>
      </c>
      <c r="F107" t="b">
        <f>VLOOKUP(Tables[[#This Row],[ColumnName]],Table5[#All],2)</f>
        <v>0</v>
      </c>
      <c r="G107" t="b">
        <f>IF(OR(Tables[IsCommonMetric]=TRUE,Tables[IsCommonField]=TRUE),TRUE,FALSE)</f>
        <v>0</v>
      </c>
      <c r="H107" t="b">
        <f>IF(VLOOKUP(Tables[[#This Row],[ColumnName]],Table4[TechnicalName],1)=Tables[[#This Row],[ColumnName]],TRUE,FALSE)</f>
        <v>0</v>
      </c>
      <c r="I10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08" spans="1:9" x14ac:dyDescent="0.25">
      <c r="A108" t="s">
        <v>39</v>
      </c>
      <c r="B108" t="s">
        <v>40</v>
      </c>
      <c r="C108" t="s">
        <v>169</v>
      </c>
      <c r="D108" t="s">
        <v>8</v>
      </c>
      <c r="E108" t="b">
        <f>IF(Tables[[#This Row],[ColumnType]]="Decimal",TRUE,FALSE)</f>
        <v>0</v>
      </c>
      <c r="F108" t="b">
        <f>VLOOKUP(Tables[[#This Row],[ColumnName]],Table5[#All],2)</f>
        <v>0</v>
      </c>
      <c r="G108" t="b">
        <f>IF(OR(Tables[IsCommonMetric]=TRUE,Tables[IsCommonField]=TRUE),TRUE,FALSE)</f>
        <v>1</v>
      </c>
      <c r="H108" t="b">
        <f>IF(VLOOKUP(Tables[[#This Row],[ColumnName]],Table4[TechnicalName],1)=Tables[[#This Row],[ColumnName]],TRUE,FALSE)</f>
        <v>0</v>
      </c>
      <c r="I108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109" spans="1:9" x14ac:dyDescent="0.25">
      <c r="A109" t="s">
        <v>39</v>
      </c>
      <c r="B109" t="s">
        <v>40</v>
      </c>
      <c r="C109" t="s">
        <v>95</v>
      </c>
      <c r="D109" t="s">
        <v>29</v>
      </c>
      <c r="E109" t="b">
        <f>IF(Tables[[#This Row],[ColumnType]]="Decimal",TRUE,FALSE)</f>
        <v>0</v>
      </c>
      <c r="F109" t="b">
        <f>VLOOKUP(Tables[[#This Row],[ColumnName]],Table5[#All],2)</f>
        <v>0</v>
      </c>
      <c r="G109" t="b">
        <f>IF(OR(Tables[IsCommonMetric]=TRUE,Tables[IsCommonField]=TRUE),TRUE,FALSE)</f>
        <v>0</v>
      </c>
      <c r="H109" t="b">
        <f>IF(VLOOKUP(Tables[[#This Row],[ColumnName]],Table4[TechnicalName],1)=Tables[[#This Row],[ColumnName]],TRUE,FALSE)</f>
        <v>0</v>
      </c>
      <c r="I10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0" spans="1:9" x14ac:dyDescent="0.25">
      <c r="A110" t="s">
        <v>39</v>
      </c>
      <c r="B110" t="s">
        <v>40</v>
      </c>
      <c r="C110" t="s">
        <v>94</v>
      </c>
      <c r="D110" t="s">
        <v>29</v>
      </c>
      <c r="E110" t="b">
        <f>IF(Tables[[#This Row],[ColumnType]]="Decimal",TRUE,FALSE)</f>
        <v>0</v>
      </c>
      <c r="F110" t="b">
        <f>VLOOKUP(Tables[[#This Row],[ColumnName]],Table5[#All],2)</f>
        <v>0</v>
      </c>
      <c r="G110" t="b">
        <f>IF(OR(Tables[IsCommonMetric]=TRUE,Tables[IsCommonField]=TRUE),TRUE,FALSE)</f>
        <v>0</v>
      </c>
      <c r="H110" t="b">
        <f>IF(VLOOKUP(Tables[[#This Row],[ColumnName]],Table4[TechnicalName],1)=Tables[[#This Row],[ColumnName]],TRUE,FALSE)</f>
        <v>0</v>
      </c>
      <c r="I11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1" spans="1:9" x14ac:dyDescent="0.25">
      <c r="A111" t="s">
        <v>39</v>
      </c>
      <c r="B111" t="s">
        <v>40</v>
      </c>
      <c r="C111" t="s">
        <v>195</v>
      </c>
      <c r="D111" t="s">
        <v>50</v>
      </c>
      <c r="E111" t="b">
        <f>IF(Tables[[#This Row],[ColumnType]]="Decimal",TRUE,FALSE)</f>
        <v>1</v>
      </c>
      <c r="F111" t="b">
        <f>VLOOKUP(Tables[[#This Row],[ColumnName]],Table5[#All],2)</f>
        <v>0</v>
      </c>
      <c r="G111" t="b">
        <f>IF(OR(Tables[IsCommonMetric]=TRUE,Tables[IsCommonField]=TRUE),TRUE,FALSE)</f>
        <v>0</v>
      </c>
      <c r="H111" t="b">
        <f>IF(IF(ISERROR(VLOOKUP(Tables[[#This Row],[ColumnName]],Table4[TechnicalName],1)),"NOTFOUND",VLOOKUP(Tables[[#This Row],[ColumnName]],Table4[TechnicalName],1))=Tables[[#This Row],[ColumnName]],TRUE,FALSE)</f>
        <v>0</v>
      </c>
      <c r="I11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2" spans="1:9" x14ac:dyDescent="0.25">
      <c r="A112" t="s">
        <v>39</v>
      </c>
      <c r="B112" t="s">
        <v>40</v>
      </c>
      <c r="C112" t="s">
        <v>86</v>
      </c>
      <c r="D112" t="s">
        <v>8</v>
      </c>
      <c r="E112" t="b">
        <f>IF(Tables[[#This Row],[ColumnType]]="Decimal",TRUE,FALSE)</f>
        <v>0</v>
      </c>
      <c r="F112" t="b">
        <f>VLOOKUP(Tables[[#This Row],[ColumnName]],Table5[#All],2)</f>
        <v>0</v>
      </c>
      <c r="G112" t="b">
        <f>IF(OR(Tables[IsCommonMetric]=TRUE,Tables[IsCommonField]=TRUE),TRUE,FALSE)</f>
        <v>0</v>
      </c>
      <c r="H112" t="b">
        <f>IF(VLOOKUP(Tables[[#This Row],[ColumnName]],Table4[TechnicalName],1)=Tables[[#This Row],[ColumnName]],TRUE,FALSE)</f>
        <v>0</v>
      </c>
      <c r="I11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3" spans="1:9" x14ac:dyDescent="0.25">
      <c r="A113" t="s">
        <v>39</v>
      </c>
      <c r="B113" t="s">
        <v>40</v>
      </c>
      <c r="C113" t="s">
        <v>176</v>
      </c>
      <c r="D113" t="s">
        <v>50</v>
      </c>
      <c r="E113" t="b">
        <f>IF(Tables[[#This Row],[ColumnType]]="Decimal",TRUE,FALSE)</f>
        <v>1</v>
      </c>
      <c r="F113" t="b">
        <f>VLOOKUP(Tables[[#This Row],[ColumnName]],Table5[#All],2)</f>
        <v>1</v>
      </c>
      <c r="G113" t="b">
        <f>IF(OR(Tables[IsCommonMetric]=TRUE,Tables[IsCommonField]=TRUE),TRUE,FALSE)</f>
        <v>1</v>
      </c>
      <c r="H113" t="b">
        <f>IF(IF(ISERROR(VLOOKUP(Tables[[#This Row],[ColumnName]],Table4[TechnicalName],1)),"NOTFOUND",VLOOKUP(Tables[[#This Row],[ColumnName]],Table4[TechnicalName],1))=Tables[[#This Row],[ColumnName]],TRUE,FALSE)</f>
        <v>1</v>
      </c>
      <c r="I11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4" spans="1:9" x14ac:dyDescent="0.25">
      <c r="A114" t="s">
        <v>39</v>
      </c>
      <c r="B114" t="s">
        <v>40</v>
      </c>
      <c r="C114" t="s">
        <v>177</v>
      </c>
      <c r="D114" t="s">
        <v>50</v>
      </c>
      <c r="E114" t="b">
        <f>IF(Tables[[#This Row],[ColumnType]]="Decimal",TRUE,FALSE)</f>
        <v>1</v>
      </c>
      <c r="F114" t="b">
        <f>VLOOKUP(Tables[[#This Row],[ColumnName]],Table5[#All],2)</f>
        <v>1</v>
      </c>
      <c r="G114" t="b">
        <f>IF(OR(Tables[IsCommonMetric]=TRUE,Tables[IsCommonField]=TRUE),TRUE,FALSE)</f>
        <v>0</v>
      </c>
      <c r="H114" t="b">
        <f>IF(IF(ISERROR(VLOOKUP(Tables[[#This Row],[ColumnName]],Table4[TechnicalName],1)),"NOTFOUND",VLOOKUP(Tables[[#This Row],[ColumnName]],Table4[TechnicalName],1))=Tables[[#This Row],[ColumnName]],TRUE,FALSE)</f>
        <v>0</v>
      </c>
      <c r="I11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5" spans="1:9" x14ac:dyDescent="0.25">
      <c r="A115" t="s">
        <v>39</v>
      </c>
      <c r="B115" t="s">
        <v>40</v>
      </c>
      <c r="C115" t="s">
        <v>164</v>
      </c>
      <c r="D115" t="s">
        <v>50</v>
      </c>
      <c r="E115" t="b">
        <f>IF(Tables[[#This Row],[ColumnType]]="Decimal",TRUE,FALSE)</f>
        <v>1</v>
      </c>
      <c r="F115" t="b">
        <f>VLOOKUP(Tables[[#This Row],[ColumnName]],Table5[#All],2)</f>
        <v>0</v>
      </c>
      <c r="G115" t="b">
        <f>IF(OR(Tables[IsCommonMetric]=TRUE,Tables[IsCommonField]=TRUE),TRUE,FALSE)</f>
        <v>1</v>
      </c>
      <c r="H115" t="b">
        <f>IF(IF(ISERROR(VLOOKUP(Tables[[#This Row],[ColumnName]],Table4[TechnicalName],1)),"NOTFOUND",VLOOKUP(Tables[[#This Row],[ColumnName]],Table4[TechnicalName],1))=Tables[[#This Row],[ColumnName]],TRUE,FALSE)</f>
        <v>1</v>
      </c>
      <c r="I11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6" spans="1:9" x14ac:dyDescent="0.25">
      <c r="A116" t="s">
        <v>39</v>
      </c>
      <c r="B116" t="s">
        <v>40</v>
      </c>
      <c r="C116" t="s">
        <v>99</v>
      </c>
      <c r="D116" t="s">
        <v>50</v>
      </c>
      <c r="E116" t="b">
        <f>IF(Tables[[#This Row],[ColumnType]]="Decimal",TRUE,FALSE)</f>
        <v>1</v>
      </c>
      <c r="F116" t="b">
        <f>VLOOKUP(Tables[[#This Row],[ColumnName]],Table5[#All],2)</f>
        <v>0</v>
      </c>
      <c r="G116" t="b">
        <f>IF(OR(Tables[IsCommonMetric]=TRUE,Tables[IsCommonField]=TRUE),TRUE,FALSE)</f>
        <v>1</v>
      </c>
      <c r="H116" t="b">
        <f>IF(IF(ISERROR(VLOOKUP(Tables[[#This Row],[ColumnName]],Table4[TechnicalName],1)),"NOTFOUND",VLOOKUP(Tables[[#This Row],[ColumnName]],Table4[TechnicalName],1))=Tables[[#This Row],[ColumnName]],TRUE,FALSE)</f>
        <v>1</v>
      </c>
      <c r="I11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7" spans="1:9" x14ac:dyDescent="0.25">
      <c r="A117" t="s">
        <v>39</v>
      </c>
      <c r="B117" t="s">
        <v>40</v>
      </c>
      <c r="C117" t="s">
        <v>72</v>
      </c>
      <c r="D117" t="s">
        <v>50</v>
      </c>
      <c r="E117" t="b">
        <f>IF(Tables[[#This Row],[ColumnType]]="Decimal",TRUE,FALSE)</f>
        <v>1</v>
      </c>
      <c r="F117" t="b">
        <f>VLOOKUP(Tables[[#This Row],[ColumnName]],Table5[#All],2)</f>
        <v>1</v>
      </c>
      <c r="G117" t="b">
        <f>IF(OR(Tables[IsCommonMetric]=TRUE,Tables[IsCommonField]=TRUE),TRUE,FALSE)</f>
        <v>0</v>
      </c>
      <c r="H117" t="b">
        <f>IF(IF(ISERROR(VLOOKUP(Tables[[#This Row],[ColumnName]],Table4[TechnicalName],1)),"NOTFOUND",VLOOKUP(Tables[[#This Row],[ColumnName]],Table4[TechnicalName],1))=Tables[[#This Row],[ColumnName]],TRUE,FALSE)</f>
        <v>0</v>
      </c>
      <c r="I11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8" spans="1:9" x14ac:dyDescent="0.25">
      <c r="A118" t="s">
        <v>39</v>
      </c>
      <c r="B118" t="s">
        <v>40</v>
      </c>
      <c r="C118" t="s">
        <v>73</v>
      </c>
      <c r="D118" t="s">
        <v>50</v>
      </c>
      <c r="E118" t="b">
        <f>IF(Tables[[#This Row],[ColumnType]]="Decimal",TRUE,FALSE)</f>
        <v>1</v>
      </c>
      <c r="F118" t="b">
        <f>VLOOKUP(Tables[[#This Row],[ColumnName]],Table5[#All],2)</f>
        <v>1</v>
      </c>
      <c r="G118" t="b">
        <f>IF(OR(Tables[IsCommonMetric]=TRUE,Tables[IsCommonField]=TRUE),TRUE,FALSE)</f>
        <v>0</v>
      </c>
      <c r="H118" t="b">
        <f>IF(IF(ISERROR(VLOOKUP(Tables[[#This Row],[ColumnName]],Table4[TechnicalName],1)),"NOTFOUND",VLOOKUP(Tables[[#This Row],[ColumnName]],Table4[TechnicalName],1))=Tables[[#This Row],[ColumnName]],TRUE,FALSE)</f>
        <v>0</v>
      </c>
      <c r="I11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19" spans="1:9" x14ac:dyDescent="0.25">
      <c r="A119" t="s">
        <v>39</v>
      </c>
      <c r="B119" t="s">
        <v>40</v>
      </c>
      <c r="C119" t="s">
        <v>79</v>
      </c>
      <c r="D119" t="s">
        <v>8</v>
      </c>
      <c r="E119" t="b">
        <f>IF(Tables[[#This Row],[ColumnType]]="Decimal",TRUE,FALSE)</f>
        <v>0</v>
      </c>
      <c r="F119" t="b">
        <f>VLOOKUP(Tables[[#This Row],[ColumnName]],Table5[#All],2)</f>
        <v>1</v>
      </c>
      <c r="G119" t="b">
        <f>IF(OR(Tables[IsCommonMetric]=TRUE,Tables[IsCommonField]=TRUE),TRUE,FALSE)</f>
        <v>0</v>
      </c>
      <c r="H119" t="b">
        <f>IF(VLOOKUP(Tables[[#This Row],[ColumnName]],Table4[TechnicalName],1)=Tables[[#This Row],[ColumnName]],TRUE,FALSE)</f>
        <v>0</v>
      </c>
      <c r="I11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0" spans="1:9" x14ac:dyDescent="0.25">
      <c r="A120" t="s">
        <v>39</v>
      </c>
      <c r="B120" t="s">
        <v>40</v>
      </c>
      <c r="C120" t="s">
        <v>185</v>
      </c>
      <c r="D120" t="s">
        <v>29</v>
      </c>
      <c r="E120" t="b">
        <f>IF(Tables[[#This Row],[ColumnType]]="Decimal",TRUE,FALSE)</f>
        <v>0</v>
      </c>
      <c r="F120" t="b">
        <f>VLOOKUP(Tables[[#This Row],[ColumnName]],Table5[#All],2)</f>
        <v>1</v>
      </c>
      <c r="G120" t="b">
        <f>IF(OR(Tables[IsCommonMetric]=TRUE,Tables[IsCommonField]=TRUE),TRUE,FALSE)</f>
        <v>0</v>
      </c>
      <c r="H120" t="b">
        <f>IF(VLOOKUP(Tables[[#This Row],[ColumnName]],Table4[TechnicalName],1)=Tables[[#This Row],[ColumnName]],TRUE,FALSE)</f>
        <v>0</v>
      </c>
      <c r="I12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1" spans="1:9" x14ac:dyDescent="0.25">
      <c r="A121" t="s">
        <v>39</v>
      </c>
      <c r="B121" t="s">
        <v>40</v>
      </c>
      <c r="C121" t="s">
        <v>93</v>
      </c>
      <c r="D121" t="s">
        <v>8</v>
      </c>
      <c r="E121" t="b">
        <f>IF(Tables[[#This Row],[ColumnType]]="Decimal",TRUE,FALSE)</f>
        <v>0</v>
      </c>
      <c r="F121" t="b">
        <f>VLOOKUP(Tables[[#This Row],[ColumnName]],Table5[#All],2)</f>
        <v>1</v>
      </c>
      <c r="G121" t="b">
        <f>IF(OR(Tables[IsCommonMetric]=TRUE,Tables[IsCommonField]=TRUE),TRUE,FALSE)</f>
        <v>0</v>
      </c>
      <c r="H121" t="b">
        <f>IF(VLOOKUP(Tables[[#This Row],[ColumnName]],Table4[TechnicalName],1)=Tables[[#This Row],[ColumnName]],TRUE,FALSE)</f>
        <v>0</v>
      </c>
      <c r="I12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2" spans="1:9" x14ac:dyDescent="0.25">
      <c r="A122" t="s">
        <v>39</v>
      </c>
      <c r="B122" t="s">
        <v>40</v>
      </c>
      <c r="C122" t="s">
        <v>193</v>
      </c>
      <c r="D122" t="s">
        <v>8</v>
      </c>
      <c r="E122" t="b">
        <f>IF(Tables[[#This Row],[ColumnType]]="Decimal",TRUE,FALSE)</f>
        <v>0</v>
      </c>
      <c r="F122" t="b">
        <f>VLOOKUP(Tables[[#This Row],[ColumnName]],Table5[#All],2)</f>
        <v>1</v>
      </c>
      <c r="G122" t="b">
        <f>IF(OR(Tables[IsCommonMetric]=TRUE,Tables[IsCommonField]=TRUE),TRUE,FALSE)</f>
        <v>0</v>
      </c>
      <c r="H122" t="b">
        <f>IF(VLOOKUP(Tables[[#This Row],[ColumnName]],Table4[TechnicalName],1)=Tables[[#This Row],[ColumnName]],TRUE,FALSE)</f>
        <v>0</v>
      </c>
      <c r="I12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3" spans="1:9" x14ac:dyDescent="0.25">
      <c r="A123" t="s">
        <v>39</v>
      </c>
      <c r="B123" t="s">
        <v>40</v>
      </c>
      <c r="C123" t="s">
        <v>52</v>
      </c>
      <c r="D123" t="s">
        <v>8</v>
      </c>
      <c r="E123" t="b">
        <f>IF(Tables[[#This Row],[ColumnType]]="Decimal",TRUE,FALSE)</f>
        <v>0</v>
      </c>
      <c r="F123" t="b">
        <f>VLOOKUP(Tables[[#This Row],[ColumnName]],Table5[#All],2)</f>
        <v>1</v>
      </c>
      <c r="G123" t="b">
        <f>IF(OR(Tables[IsCommonMetric]=TRUE,Tables[IsCommonField]=TRUE),TRUE,FALSE)</f>
        <v>1</v>
      </c>
      <c r="H123" t="b">
        <f>IF(VLOOKUP(Tables[[#This Row],[ColumnName]],Table4[TechnicalName],1)=Tables[[#This Row],[ColumnName]],TRUE,FALSE)</f>
        <v>0</v>
      </c>
      <c r="I123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124" spans="1:9" x14ac:dyDescent="0.25">
      <c r="A124" t="s">
        <v>39</v>
      </c>
      <c r="B124" t="s">
        <v>40</v>
      </c>
      <c r="C124" t="s">
        <v>125</v>
      </c>
      <c r="D124" t="s">
        <v>50</v>
      </c>
      <c r="E124" t="b">
        <f>IF(Tables[[#This Row],[ColumnType]]="Decimal",TRUE,FALSE)</f>
        <v>1</v>
      </c>
      <c r="F124" t="b">
        <f>VLOOKUP(Tables[[#This Row],[ColumnName]],Table5[#All],2)</f>
        <v>1</v>
      </c>
      <c r="G124" t="b">
        <f>IF(OR(Tables[IsCommonMetric]=TRUE,Tables[IsCommonField]=TRUE),TRUE,FALSE)</f>
        <v>0</v>
      </c>
      <c r="H124" t="b">
        <f>IF(IF(ISERROR(VLOOKUP(Tables[[#This Row],[ColumnName]],Table4[TechnicalName],1)),"NOTFOUND",VLOOKUP(Tables[[#This Row],[ColumnName]],Table4[TechnicalName],1))=Tables[[#This Row],[ColumnName]],TRUE,FALSE)</f>
        <v>0</v>
      </c>
      <c r="I12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5" spans="1:9" x14ac:dyDescent="0.25">
      <c r="A125" t="s">
        <v>39</v>
      </c>
      <c r="B125" t="s">
        <v>40</v>
      </c>
      <c r="C125" t="s">
        <v>126</v>
      </c>
      <c r="D125" t="s">
        <v>50</v>
      </c>
      <c r="E125" t="b">
        <f>IF(Tables[[#This Row],[ColumnType]]="Decimal",TRUE,FALSE)</f>
        <v>1</v>
      </c>
      <c r="F125" t="b">
        <f>VLOOKUP(Tables[[#This Row],[ColumnName]],Table5[#All],2)</f>
        <v>1</v>
      </c>
      <c r="G125" t="b">
        <f>IF(OR(Tables[IsCommonMetric]=TRUE,Tables[IsCommonField]=TRUE),TRUE,FALSE)</f>
        <v>0</v>
      </c>
      <c r="H125" t="b">
        <f>IF(IF(ISERROR(VLOOKUP(Tables[[#This Row],[ColumnName]],Table4[TechnicalName],1)),"NOTFOUND",VLOOKUP(Tables[[#This Row],[ColumnName]],Table4[TechnicalName],1))=Tables[[#This Row],[ColumnName]],TRUE,FALSE)</f>
        <v>0</v>
      </c>
      <c r="I12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6" spans="1:9" x14ac:dyDescent="0.25">
      <c r="A126" t="s">
        <v>39</v>
      </c>
      <c r="B126" t="s">
        <v>40</v>
      </c>
      <c r="C126" t="s">
        <v>127</v>
      </c>
      <c r="D126" t="s">
        <v>50</v>
      </c>
      <c r="E126" t="b">
        <f>IF(Tables[[#This Row],[ColumnType]]="Decimal",TRUE,FALSE)</f>
        <v>1</v>
      </c>
      <c r="F126" t="b">
        <f>VLOOKUP(Tables[[#This Row],[ColumnName]],Table5[#All],2)</f>
        <v>1</v>
      </c>
      <c r="G126" t="b">
        <f>IF(OR(Tables[IsCommonMetric]=TRUE,Tables[IsCommonField]=TRUE),TRUE,FALSE)</f>
        <v>0</v>
      </c>
      <c r="H126" t="b">
        <f>IF(IF(ISERROR(VLOOKUP(Tables[[#This Row],[ColumnName]],Table4[TechnicalName],1)),"NOTFOUND",VLOOKUP(Tables[[#This Row],[ColumnName]],Table4[TechnicalName],1))=Tables[[#This Row],[ColumnName]],TRUE,FALSE)</f>
        <v>0</v>
      </c>
      <c r="I12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7" spans="1:9" x14ac:dyDescent="0.25">
      <c r="A127" t="s">
        <v>39</v>
      </c>
      <c r="B127" t="s">
        <v>40</v>
      </c>
      <c r="C127" t="s">
        <v>128</v>
      </c>
      <c r="D127" t="s">
        <v>50</v>
      </c>
      <c r="E127" t="b">
        <f>IF(Tables[[#This Row],[ColumnType]]="Decimal",TRUE,FALSE)</f>
        <v>1</v>
      </c>
      <c r="F127" t="b">
        <f>VLOOKUP(Tables[[#This Row],[ColumnName]],Table5[#All],2)</f>
        <v>1</v>
      </c>
      <c r="G127" t="b">
        <f>IF(OR(Tables[IsCommonMetric]=TRUE,Tables[IsCommonField]=TRUE),TRUE,FALSE)</f>
        <v>0</v>
      </c>
      <c r="H127" t="b">
        <f>IF(IF(ISERROR(VLOOKUP(Tables[[#This Row],[ColumnName]],Table4[TechnicalName],1)),"NOTFOUND",VLOOKUP(Tables[[#This Row],[ColumnName]],Table4[TechnicalName],1))=Tables[[#This Row],[ColumnName]],TRUE,FALSE)</f>
        <v>0</v>
      </c>
      <c r="I12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8" spans="1:9" x14ac:dyDescent="0.25">
      <c r="A128" t="s">
        <v>39</v>
      </c>
      <c r="B128" t="s">
        <v>40</v>
      </c>
      <c r="C128" t="s">
        <v>191</v>
      </c>
      <c r="D128" t="s">
        <v>8</v>
      </c>
      <c r="E128" t="b">
        <f>IF(Tables[[#This Row],[ColumnType]]="Decimal",TRUE,FALSE)</f>
        <v>0</v>
      </c>
      <c r="F128" t="b">
        <f>VLOOKUP(Tables[[#This Row],[ColumnName]],Table5[#All],2)</f>
        <v>1</v>
      </c>
      <c r="G128" t="b">
        <f>IF(OR(Tables[IsCommonMetric]=TRUE,Tables[IsCommonField]=TRUE),TRUE,FALSE)</f>
        <v>0</v>
      </c>
      <c r="H128" t="b">
        <f>IF(VLOOKUP(Tables[[#This Row],[ColumnName]],Table4[TechnicalName],1)=Tables[[#This Row],[ColumnName]],TRUE,FALSE)</f>
        <v>0</v>
      </c>
      <c r="I12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29" spans="1:9" x14ac:dyDescent="0.25">
      <c r="A129" t="s">
        <v>39</v>
      </c>
      <c r="B129" t="s">
        <v>40</v>
      </c>
      <c r="C129" t="s">
        <v>194</v>
      </c>
      <c r="D129" t="s">
        <v>8</v>
      </c>
      <c r="E129" t="b">
        <f>IF(Tables[[#This Row],[ColumnType]]="Decimal",TRUE,FALSE)</f>
        <v>0</v>
      </c>
      <c r="F129" t="b">
        <f>VLOOKUP(Tables[[#This Row],[ColumnName]],Table5[#All],2)</f>
        <v>1</v>
      </c>
      <c r="G129" t="b">
        <f>IF(OR(Tables[IsCommonMetric]=TRUE,Tables[IsCommonField]=TRUE),TRUE,FALSE)</f>
        <v>0</v>
      </c>
      <c r="H129" t="b">
        <f>IF(VLOOKUP(Tables[[#This Row],[ColumnName]],Table4[TechnicalName],1)=Tables[[#This Row],[ColumnName]],TRUE,FALSE)</f>
        <v>0</v>
      </c>
      <c r="I12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0" spans="1:9" x14ac:dyDescent="0.25">
      <c r="A130" t="s">
        <v>39</v>
      </c>
      <c r="B130" t="s">
        <v>40</v>
      </c>
      <c r="C130" t="s">
        <v>80</v>
      </c>
      <c r="D130" t="s">
        <v>8</v>
      </c>
      <c r="E130" t="b">
        <f>IF(Tables[[#This Row],[ColumnType]]="Decimal",TRUE,FALSE)</f>
        <v>0</v>
      </c>
      <c r="F130" t="b">
        <f>VLOOKUP(Tables[[#This Row],[ColumnName]],Table5[#All],2)</f>
        <v>1</v>
      </c>
      <c r="G130" t="b">
        <f>IF(OR(Tables[IsCommonMetric]=TRUE,Tables[IsCommonField]=TRUE),TRUE,FALSE)</f>
        <v>0</v>
      </c>
      <c r="H130" t="b">
        <f>IF(VLOOKUP(Tables[[#This Row],[ColumnName]],Table4[TechnicalName],1)=Tables[[#This Row],[ColumnName]],TRUE,FALSE)</f>
        <v>0</v>
      </c>
      <c r="I13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1" spans="1:9" x14ac:dyDescent="0.25">
      <c r="A131" t="s">
        <v>39</v>
      </c>
      <c r="B131" t="s">
        <v>40</v>
      </c>
      <c r="C131" t="s">
        <v>152</v>
      </c>
      <c r="D131" t="s">
        <v>8</v>
      </c>
      <c r="E131" t="b">
        <f>IF(Tables[[#This Row],[ColumnType]]="Decimal",TRUE,FALSE)</f>
        <v>0</v>
      </c>
      <c r="F131" t="b">
        <f>VLOOKUP(Tables[[#This Row],[ColumnName]],Table5[#All],2)</f>
        <v>1</v>
      </c>
      <c r="G131" t="b">
        <f>IF(OR(Tables[IsCommonMetric]=TRUE,Tables[IsCommonField]=TRUE),TRUE,FALSE)</f>
        <v>0</v>
      </c>
      <c r="H131" t="b">
        <f>IF(VLOOKUP(Tables[[#This Row],[ColumnName]],Table4[TechnicalName],1)=Tables[[#This Row],[ColumnName]],TRUE,FALSE)</f>
        <v>0</v>
      </c>
      <c r="I13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2" spans="1:9" x14ac:dyDescent="0.25">
      <c r="A132" t="s">
        <v>39</v>
      </c>
      <c r="B132" t="s">
        <v>40</v>
      </c>
      <c r="C132" t="s">
        <v>82</v>
      </c>
      <c r="D132" t="s">
        <v>8</v>
      </c>
      <c r="E132" t="b">
        <f>IF(Tables[[#This Row],[ColumnType]]="Decimal",TRUE,FALSE)</f>
        <v>0</v>
      </c>
      <c r="F132" t="b">
        <f>VLOOKUP(Tables[[#This Row],[ColumnName]],Table5[#All],2)</f>
        <v>1</v>
      </c>
      <c r="G132" t="b">
        <f>IF(OR(Tables[IsCommonMetric]=TRUE,Tables[IsCommonField]=TRUE),TRUE,FALSE)</f>
        <v>0</v>
      </c>
      <c r="H132" t="b">
        <f>IF(VLOOKUP(Tables[[#This Row],[ColumnName]],Table4[TechnicalName],1)=Tables[[#This Row],[ColumnName]],TRUE,FALSE)</f>
        <v>0</v>
      </c>
      <c r="I13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3" spans="1:9" x14ac:dyDescent="0.25">
      <c r="A133" t="s">
        <v>39</v>
      </c>
      <c r="B133" t="s">
        <v>40</v>
      </c>
      <c r="C133" t="s">
        <v>81</v>
      </c>
      <c r="D133" t="s">
        <v>8</v>
      </c>
      <c r="E133" t="b">
        <f>IF(Tables[[#This Row],[ColumnType]]="Decimal",TRUE,FALSE)</f>
        <v>0</v>
      </c>
      <c r="F133" t="b">
        <f>VLOOKUP(Tables[[#This Row],[ColumnName]],Table5[#All],2)</f>
        <v>1</v>
      </c>
      <c r="G133" t="b">
        <f>IF(OR(Tables[IsCommonMetric]=TRUE,Tables[IsCommonField]=TRUE),TRUE,FALSE)</f>
        <v>1</v>
      </c>
      <c r="H133" t="b">
        <f>IF(VLOOKUP(Tables[[#This Row],[ColumnName]],Table4[TechnicalName],1)=Tables[[#This Row],[ColumnName]],TRUE,FALSE)</f>
        <v>0</v>
      </c>
      <c r="I133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134" spans="1:9" x14ac:dyDescent="0.25">
      <c r="A134" t="s">
        <v>39</v>
      </c>
      <c r="B134" t="s">
        <v>40</v>
      </c>
      <c r="C134" t="s">
        <v>71</v>
      </c>
      <c r="D134" t="s">
        <v>8</v>
      </c>
      <c r="E134" t="b">
        <f>IF(Tables[[#This Row],[ColumnType]]="Decimal",TRUE,FALSE)</f>
        <v>0</v>
      </c>
      <c r="F134" t="b">
        <f>VLOOKUP(Tables[[#This Row],[ColumnName]],Table5[#All],2)</f>
        <v>1</v>
      </c>
      <c r="G134" t="b">
        <f>IF(OR(Tables[IsCommonMetric]=TRUE,Tables[IsCommonField]=TRUE),TRUE,FALSE)</f>
        <v>0</v>
      </c>
      <c r="H134" t="b">
        <f>IF(VLOOKUP(Tables[[#This Row],[ColumnName]],Table4[TechnicalName],1)=Tables[[#This Row],[ColumnName]],TRUE,FALSE)</f>
        <v>0</v>
      </c>
      <c r="I13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5" spans="1:9" x14ac:dyDescent="0.25">
      <c r="A135" t="s">
        <v>39</v>
      </c>
      <c r="B135" t="s">
        <v>40</v>
      </c>
      <c r="C135" t="s">
        <v>188</v>
      </c>
      <c r="D135" t="s">
        <v>29</v>
      </c>
      <c r="E135" t="b">
        <f>IF(Tables[[#This Row],[ColumnType]]="Decimal",TRUE,FALSE)</f>
        <v>0</v>
      </c>
      <c r="F135" t="b">
        <f>VLOOKUP(Tables[[#This Row],[ColumnName]],Table5[#All],2)</f>
        <v>1</v>
      </c>
      <c r="G135" t="b">
        <f>IF(OR(Tables[IsCommonMetric]=TRUE,Tables[IsCommonField]=TRUE),TRUE,FALSE)</f>
        <v>0</v>
      </c>
      <c r="H135" t="b">
        <f>IF(VLOOKUP(Tables[[#This Row],[ColumnName]],Table4[TechnicalName],1)=Tables[[#This Row],[ColumnName]],TRUE,FALSE)</f>
        <v>0</v>
      </c>
      <c r="I13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6" spans="1:9" x14ac:dyDescent="0.25">
      <c r="A136" t="s">
        <v>39</v>
      </c>
      <c r="B136" t="s">
        <v>40</v>
      </c>
      <c r="C136" t="s">
        <v>198</v>
      </c>
      <c r="D136" t="s">
        <v>8</v>
      </c>
      <c r="E136" t="b">
        <f>IF(Tables[[#This Row],[ColumnType]]="Decimal",TRUE,FALSE)</f>
        <v>0</v>
      </c>
      <c r="F136" t="b">
        <f>VLOOKUP(Tables[[#This Row],[ColumnName]],Table5[#All],2)</f>
        <v>1</v>
      </c>
      <c r="G136" t="b">
        <f>IF(OR(Tables[IsCommonMetric]=TRUE,Tables[IsCommonField]=TRUE),TRUE,FALSE)</f>
        <v>0</v>
      </c>
      <c r="H136" t="b">
        <f>IF(VLOOKUP(Tables[[#This Row],[ColumnName]],Table4[TechnicalName],1)=Tables[[#This Row],[ColumnName]],TRUE,FALSE)</f>
        <v>0</v>
      </c>
      <c r="I13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7" spans="1:9" x14ac:dyDescent="0.25">
      <c r="A137" t="s">
        <v>39</v>
      </c>
      <c r="B137" t="s">
        <v>40</v>
      </c>
      <c r="C137" t="s">
        <v>57</v>
      </c>
      <c r="D137" t="s">
        <v>8</v>
      </c>
      <c r="E137" t="b">
        <f>IF(Tables[[#This Row],[ColumnType]]="Decimal",TRUE,FALSE)</f>
        <v>0</v>
      </c>
      <c r="F137" t="b">
        <f>VLOOKUP(Tables[[#This Row],[ColumnName]],Table5[#All],2)</f>
        <v>1</v>
      </c>
      <c r="G137" t="b">
        <f>IF(OR(Tables[IsCommonMetric]=TRUE,Tables[IsCommonField]=TRUE),TRUE,FALSE)</f>
        <v>0</v>
      </c>
      <c r="H137" t="b">
        <f>IF(VLOOKUP(Tables[[#This Row],[ColumnName]],Table4[TechnicalName],1)=Tables[[#This Row],[ColumnName]],TRUE,FALSE)</f>
        <v>0</v>
      </c>
      <c r="I13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8" spans="1:9" x14ac:dyDescent="0.25">
      <c r="A138" t="s">
        <v>39</v>
      </c>
      <c r="B138" t="s">
        <v>40</v>
      </c>
      <c r="C138" t="s">
        <v>85</v>
      </c>
      <c r="D138" t="s">
        <v>8</v>
      </c>
      <c r="E138" t="b">
        <f>IF(Tables[[#This Row],[ColumnType]]="Decimal",TRUE,FALSE)</f>
        <v>0</v>
      </c>
      <c r="F138" t="b">
        <f>VLOOKUP(Tables[[#This Row],[ColumnName]],Table5[#All],2)</f>
        <v>1</v>
      </c>
      <c r="G138" t="b">
        <f>IF(OR(Tables[IsCommonMetric]=TRUE,Tables[IsCommonField]=TRUE),TRUE,FALSE)</f>
        <v>0</v>
      </c>
      <c r="H138" t="b">
        <f>IF(VLOOKUP(Tables[[#This Row],[ColumnName]],Table4[TechnicalName],1)=Tables[[#This Row],[ColumnName]],TRUE,FALSE)</f>
        <v>0</v>
      </c>
      <c r="I13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39" spans="1:9" x14ac:dyDescent="0.25">
      <c r="A139" t="s">
        <v>39</v>
      </c>
      <c r="B139" t="s">
        <v>40</v>
      </c>
      <c r="C139" t="s">
        <v>167</v>
      </c>
      <c r="D139" t="s">
        <v>8</v>
      </c>
      <c r="E139" t="b">
        <f>IF(Tables[[#This Row],[ColumnType]]="Decimal",TRUE,FALSE)</f>
        <v>0</v>
      </c>
      <c r="F139" t="b">
        <f>VLOOKUP(Tables[[#This Row],[ColumnName]],Table5[#All],2)</f>
        <v>1</v>
      </c>
      <c r="G139" t="b">
        <f>IF(OR(Tables[IsCommonMetric]=TRUE,Tables[IsCommonField]=TRUE),TRUE,FALSE)</f>
        <v>0</v>
      </c>
      <c r="H139" t="b">
        <f>IF(VLOOKUP(Tables[[#This Row],[ColumnName]],Table4[TechnicalName],1)=Tables[[#This Row],[ColumnName]],TRUE,FALSE)</f>
        <v>0</v>
      </c>
      <c r="I13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0" spans="1:9" x14ac:dyDescent="0.25">
      <c r="A140" t="s">
        <v>39</v>
      </c>
      <c r="B140" t="s">
        <v>40</v>
      </c>
      <c r="C140" t="s">
        <v>129</v>
      </c>
      <c r="D140" t="s">
        <v>50</v>
      </c>
      <c r="E140" t="b">
        <f>IF(Tables[[#This Row],[ColumnType]]="Decimal",TRUE,FALSE)</f>
        <v>1</v>
      </c>
      <c r="F140" t="b">
        <f>VLOOKUP(Tables[[#This Row],[ColumnName]],Table5[#All],2)</f>
        <v>1</v>
      </c>
      <c r="G140" t="b">
        <f>IF(OR(Tables[IsCommonMetric]=TRUE,Tables[IsCommonField]=TRUE),TRUE,FALSE)</f>
        <v>1</v>
      </c>
      <c r="H140" t="b">
        <f>IF(IF(ISERROR(VLOOKUP(Tables[[#This Row],[ColumnName]],Table4[TechnicalName],1)),"NOTFOUND",VLOOKUP(Tables[[#This Row],[ColumnName]],Table4[TechnicalName],1))=Tables[[#This Row],[ColumnName]],TRUE,FALSE)</f>
        <v>1</v>
      </c>
      <c r="I14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1" spans="1:9" x14ac:dyDescent="0.25">
      <c r="A141" t="s">
        <v>39</v>
      </c>
      <c r="B141" t="s">
        <v>40</v>
      </c>
      <c r="C141" t="s">
        <v>130</v>
      </c>
      <c r="D141" t="s">
        <v>50</v>
      </c>
      <c r="E141" t="b">
        <f>IF(Tables[[#This Row],[ColumnType]]="Decimal",TRUE,FALSE)</f>
        <v>1</v>
      </c>
      <c r="F141" t="b">
        <f>VLOOKUP(Tables[[#This Row],[ColumnName]],Table5[#All],2)</f>
        <v>1</v>
      </c>
      <c r="G141" t="b">
        <f>IF(OR(Tables[IsCommonMetric]=TRUE,Tables[IsCommonField]=TRUE),TRUE,FALSE)</f>
        <v>0</v>
      </c>
      <c r="H141" t="b">
        <f>IF(IF(ISERROR(VLOOKUP(Tables[[#This Row],[ColumnName]],Table4[TechnicalName],1)),"NOTFOUND",VLOOKUP(Tables[[#This Row],[ColumnName]],Table4[TechnicalName],1))=Tables[[#This Row],[ColumnName]],TRUE,FALSE)</f>
        <v>0</v>
      </c>
      <c r="I14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2" spans="1:9" x14ac:dyDescent="0.25">
      <c r="A142" t="s">
        <v>39</v>
      </c>
      <c r="B142" t="s">
        <v>40</v>
      </c>
      <c r="C142" t="s">
        <v>161</v>
      </c>
      <c r="D142" t="s">
        <v>8</v>
      </c>
      <c r="E142" t="b">
        <f>IF(Tables[[#This Row],[ColumnType]]="Decimal",TRUE,FALSE)</f>
        <v>0</v>
      </c>
      <c r="F142" t="b">
        <f>VLOOKUP(Tables[[#This Row],[ColumnName]],Table5[#All],2)</f>
        <v>1</v>
      </c>
      <c r="G142" t="b">
        <f>IF(OR(Tables[IsCommonMetric]=TRUE,Tables[IsCommonField]=TRUE),TRUE,FALSE)</f>
        <v>0</v>
      </c>
      <c r="H142" t="b">
        <f>IF(VLOOKUP(Tables[[#This Row],[ColumnName]],Table4[TechnicalName],1)=Tables[[#This Row],[ColumnName]],TRUE,FALSE)</f>
        <v>0</v>
      </c>
      <c r="I14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3" spans="1:9" x14ac:dyDescent="0.25">
      <c r="A143" t="s">
        <v>39</v>
      </c>
      <c r="B143" t="s">
        <v>40</v>
      </c>
      <c r="C143" t="s">
        <v>121</v>
      </c>
      <c r="D143" t="s">
        <v>50</v>
      </c>
      <c r="E143" t="b">
        <f>IF(Tables[[#This Row],[ColumnType]]="Decimal",TRUE,FALSE)</f>
        <v>1</v>
      </c>
      <c r="F143" t="b">
        <f>VLOOKUP(Tables[[#This Row],[ColumnName]],Table5[#All],2)</f>
        <v>1</v>
      </c>
      <c r="G143" t="b">
        <f>IF(OR(Tables[IsCommonMetric]=TRUE,Tables[IsCommonField]=TRUE),TRUE,FALSE)</f>
        <v>0</v>
      </c>
      <c r="H143" t="b">
        <f>IF(IF(ISERROR(VLOOKUP(Tables[[#This Row],[ColumnName]],Table4[TechnicalName],1)),"NOTFOUND",VLOOKUP(Tables[[#This Row],[ColumnName]],Table4[TechnicalName],1))=Tables[[#This Row],[ColumnName]],TRUE,FALSE)</f>
        <v>0</v>
      </c>
      <c r="I14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4" spans="1:9" x14ac:dyDescent="0.25">
      <c r="A144" t="s">
        <v>39</v>
      </c>
      <c r="B144" t="s">
        <v>40</v>
      </c>
      <c r="C144" t="s">
        <v>122</v>
      </c>
      <c r="D144" t="s">
        <v>50</v>
      </c>
      <c r="E144" t="b">
        <f>IF(Tables[[#This Row],[ColumnType]]="Decimal",TRUE,FALSE)</f>
        <v>1</v>
      </c>
      <c r="F144" t="b">
        <f>VLOOKUP(Tables[[#This Row],[ColumnName]],Table5[#All],2)</f>
        <v>1</v>
      </c>
      <c r="G144" t="b">
        <f>IF(OR(Tables[IsCommonMetric]=TRUE,Tables[IsCommonField]=TRUE),TRUE,FALSE)</f>
        <v>0</v>
      </c>
      <c r="H144" t="b">
        <f>IF(IF(ISERROR(VLOOKUP(Tables[[#This Row],[ColumnName]],Table4[TechnicalName],1)),"NOTFOUND",VLOOKUP(Tables[[#This Row],[ColumnName]],Table4[TechnicalName],1))=Tables[[#This Row],[ColumnName]],TRUE,FALSE)</f>
        <v>0</v>
      </c>
      <c r="I14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5" spans="1:9" x14ac:dyDescent="0.25">
      <c r="A145" t="s">
        <v>39</v>
      </c>
      <c r="B145" t="s">
        <v>40</v>
      </c>
      <c r="C145" t="s">
        <v>55</v>
      </c>
      <c r="D145" t="s">
        <v>8</v>
      </c>
      <c r="E145" t="b">
        <f>IF(Tables[[#This Row],[ColumnType]]="Decimal",TRUE,FALSE)</f>
        <v>0</v>
      </c>
      <c r="F145" t="b">
        <f>VLOOKUP(Tables[[#This Row],[ColumnName]],Table5[#All],2)</f>
        <v>1</v>
      </c>
      <c r="G145" t="b">
        <f>IF(OR(Tables[IsCommonMetric]=TRUE,Tables[IsCommonField]=TRUE),TRUE,FALSE)</f>
        <v>0</v>
      </c>
      <c r="H145" t="b">
        <f>IF(VLOOKUP(Tables[[#This Row],[ColumnName]],Table4[TechnicalName],1)=Tables[[#This Row],[ColumnName]],TRUE,FALSE)</f>
        <v>0</v>
      </c>
      <c r="I14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6" spans="1:9" x14ac:dyDescent="0.25">
      <c r="A146" t="s">
        <v>39</v>
      </c>
      <c r="B146" t="s">
        <v>40</v>
      </c>
      <c r="C146" t="s">
        <v>61</v>
      </c>
      <c r="D146" t="s">
        <v>8</v>
      </c>
      <c r="E146" t="b">
        <f>IF(Tables[[#This Row],[ColumnType]]="Decimal",TRUE,FALSE)</f>
        <v>0</v>
      </c>
      <c r="F146" t="b">
        <f>VLOOKUP(Tables[[#This Row],[ColumnName]],Table5[#All],2)</f>
        <v>1</v>
      </c>
      <c r="G146" t="b">
        <f>IF(OR(Tables[IsCommonMetric]=TRUE,Tables[IsCommonField]=TRUE),TRUE,FALSE)</f>
        <v>0</v>
      </c>
      <c r="H146" t="b">
        <f>IF(VLOOKUP(Tables[[#This Row],[ColumnName]],Table4[TechnicalName],1)=Tables[[#This Row],[ColumnName]],TRUE,FALSE)</f>
        <v>0</v>
      </c>
      <c r="I14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7" spans="1:9" x14ac:dyDescent="0.25">
      <c r="A147" t="s">
        <v>39</v>
      </c>
      <c r="B147" t="s">
        <v>40</v>
      </c>
      <c r="C147" t="s">
        <v>62</v>
      </c>
      <c r="D147" t="s">
        <v>8</v>
      </c>
      <c r="E147" t="b">
        <f>IF(Tables[[#This Row],[ColumnType]]="Decimal",TRUE,FALSE)</f>
        <v>0</v>
      </c>
      <c r="F147" t="b">
        <f>VLOOKUP(Tables[[#This Row],[ColumnName]],Table5[#All],2)</f>
        <v>1</v>
      </c>
      <c r="G147" t="b">
        <f>IF(OR(Tables[IsCommonMetric]=TRUE,Tables[IsCommonField]=TRUE),TRUE,FALSE)</f>
        <v>0</v>
      </c>
      <c r="H147" t="b">
        <f>IF(VLOOKUP(Tables[[#This Row],[ColumnName]],Table4[TechnicalName],1)=Tables[[#This Row],[ColumnName]],TRUE,FALSE)</f>
        <v>0</v>
      </c>
      <c r="I14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8" spans="1:9" x14ac:dyDescent="0.25">
      <c r="A148" t="s">
        <v>39</v>
      </c>
      <c r="B148" t="s">
        <v>40</v>
      </c>
      <c r="C148" t="s">
        <v>63</v>
      </c>
      <c r="D148" t="s">
        <v>8</v>
      </c>
      <c r="E148" t="b">
        <f>IF(Tables[[#This Row],[ColumnType]]="Decimal",TRUE,FALSE)</f>
        <v>0</v>
      </c>
      <c r="F148" t="b">
        <f>VLOOKUP(Tables[[#This Row],[ColumnName]],Table5[#All],2)</f>
        <v>1</v>
      </c>
      <c r="G148" t="b">
        <f>IF(OR(Tables[IsCommonMetric]=TRUE,Tables[IsCommonField]=TRUE),TRUE,FALSE)</f>
        <v>0</v>
      </c>
      <c r="H148" t="b">
        <f>IF(VLOOKUP(Tables[[#This Row],[ColumnName]],Table4[TechnicalName],1)=Tables[[#This Row],[ColumnName]],TRUE,FALSE)</f>
        <v>0</v>
      </c>
      <c r="I14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49" spans="1:9" x14ac:dyDescent="0.25">
      <c r="A149" t="s">
        <v>39</v>
      </c>
      <c r="B149" t="s">
        <v>40</v>
      </c>
      <c r="C149" t="s">
        <v>69</v>
      </c>
      <c r="D149" t="s">
        <v>70</v>
      </c>
      <c r="E149" t="b">
        <f>IF(Tables[[#This Row],[ColumnType]]="Decimal",TRUE,FALSE)</f>
        <v>0</v>
      </c>
      <c r="F149" t="b">
        <f>VLOOKUP(Tables[[#This Row],[ColumnName]],Table5[#All],2)</f>
        <v>1</v>
      </c>
      <c r="G149" t="b">
        <f>IF(OR(Tables[IsCommonMetric]=TRUE,Tables[IsCommonField]=TRUE),TRUE,FALSE)</f>
        <v>0</v>
      </c>
      <c r="H149" t="b">
        <f>IF(VLOOKUP(Tables[[#This Row],[ColumnName]],Table4[TechnicalName],1)=Tables[[#This Row],[ColumnName]],TRUE,FALSE)</f>
        <v>0</v>
      </c>
      <c r="I14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0" spans="1:9" x14ac:dyDescent="0.25">
      <c r="A150" t="s">
        <v>39</v>
      </c>
      <c r="B150" t="s">
        <v>40</v>
      </c>
      <c r="C150" t="s">
        <v>171</v>
      </c>
      <c r="D150" t="s">
        <v>8</v>
      </c>
      <c r="E150" t="b">
        <f>IF(Tables[[#This Row],[ColumnType]]="Decimal",TRUE,FALSE)</f>
        <v>0</v>
      </c>
      <c r="F150" t="b">
        <f>VLOOKUP(Tables[[#This Row],[ColumnName]],Table5[#All],2)</f>
        <v>1</v>
      </c>
      <c r="G150" t="b">
        <f>IF(OR(Tables[IsCommonMetric]=TRUE,Tables[IsCommonField]=TRUE),TRUE,FALSE)</f>
        <v>0</v>
      </c>
      <c r="H150" t="b">
        <f>IF(VLOOKUP(Tables[[#This Row],[ColumnName]],Table4[TechnicalName],1)=Tables[[#This Row],[ColumnName]],TRUE,FALSE)</f>
        <v>0</v>
      </c>
      <c r="I15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1" spans="1:9" x14ac:dyDescent="0.25">
      <c r="A151" t="s">
        <v>39</v>
      </c>
      <c r="B151" t="s">
        <v>40</v>
      </c>
      <c r="C151" t="s">
        <v>155</v>
      </c>
      <c r="D151" t="s">
        <v>8</v>
      </c>
      <c r="E151" t="b">
        <f>IF(Tables[[#This Row],[ColumnType]]="Decimal",TRUE,FALSE)</f>
        <v>0</v>
      </c>
      <c r="F151" t="b">
        <f>VLOOKUP(Tables[[#This Row],[ColumnName]],Table5[#All],2)</f>
        <v>1</v>
      </c>
      <c r="G151" t="b">
        <f>IF(OR(Tables[IsCommonMetric]=TRUE,Tables[IsCommonField]=TRUE),TRUE,FALSE)</f>
        <v>0</v>
      </c>
      <c r="H151" t="b">
        <f>IF(VLOOKUP(Tables[[#This Row],[ColumnName]],Table4[TechnicalName],1)=Tables[[#This Row],[ColumnName]],TRUE,FALSE)</f>
        <v>0</v>
      </c>
      <c r="I15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2" spans="1:9" x14ac:dyDescent="0.25">
      <c r="A152" t="s">
        <v>39</v>
      </c>
      <c r="B152" t="s">
        <v>40</v>
      </c>
      <c r="C152" t="s">
        <v>68</v>
      </c>
      <c r="D152" t="s">
        <v>8</v>
      </c>
      <c r="E152" t="b">
        <f>IF(Tables[[#This Row],[ColumnType]]="Decimal",TRUE,FALSE)</f>
        <v>0</v>
      </c>
      <c r="F152" t="b">
        <f>VLOOKUP(Tables[[#This Row],[ColumnName]],Table5[#All],2)</f>
        <v>1</v>
      </c>
      <c r="G152" t="b">
        <f>IF(OR(Tables[IsCommonMetric]=TRUE,Tables[IsCommonField]=TRUE),TRUE,FALSE)</f>
        <v>0</v>
      </c>
      <c r="H152" t="b">
        <f>IF(VLOOKUP(Tables[[#This Row],[ColumnName]],Table4[TechnicalName],1)=Tables[[#This Row],[ColumnName]],TRUE,FALSE)</f>
        <v>0</v>
      </c>
      <c r="I15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3" spans="1:9" x14ac:dyDescent="0.25">
      <c r="A153" t="s">
        <v>39</v>
      </c>
      <c r="B153" t="s">
        <v>40</v>
      </c>
      <c r="C153" t="s">
        <v>48</v>
      </c>
      <c r="D153" t="s">
        <v>29</v>
      </c>
      <c r="E153" t="b">
        <f>IF(Tables[[#This Row],[ColumnType]]="Decimal",TRUE,FALSE)</f>
        <v>0</v>
      </c>
      <c r="F153" t="b">
        <f>VLOOKUP(Tables[[#This Row],[ColumnName]],Table5[#All],2)</f>
        <v>1</v>
      </c>
      <c r="G153" t="b">
        <f>IF(OR(Tables[IsCommonMetric]=TRUE,Tables[IsCommonField]=TRUE),TRUE,FALSE)</f>
        <v>0</v>
      </c>
      <c r="H153" t="b">
        <f>IF(VLOOKUP(Tables[[#This Row],[ColumnName]],Table4[TechnicalName],1)=Tables[[#This Row],[ColumnName]],TRUE,FALSE)</f>
        <v>0</v>
      </c>
      <c r="I15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4" spans="1:9" x14ac:dyDescent="0.25">
      <c r="A154" t="s">
        <v>39</v>
      </c>
      <c r="B154" t="s">
        <v>40</v>
      </c>
      <c r="C154" t="s">
        <v>47</v>
      </c>
      <c r="D154" t="s">
        <v>29</v>
      </c>
      <c r="E154" t="b">
        <f>IF(Tables[[#This Row],[ColumnType]]="Decimal",TRUE,FALSE)</f>
        <v>0</v>
      </c>
      <c r="F154" t="b">
        <f>VLOOKUP(Tables[[#This Row],[ColumnName]],Table5[#All],2)</f>
        <v>1</v>
      </c>
      <c r="G154" t="b">
        <f>IF(OR(Tables[IsCommonMetric]=TRUE,Tables[IsCommonField]=TRUE),TRUE,FALSE)</f>
        <v>0</v>
      </c>
      <c r="H154" t="b">
        <f>IF(VLOOKUP(Tables[[#This Row],[ColumnName]],Table4[TechnicalName],1)=Tables[[#This Row],[ColumnName]],TRUE,FALSE)</f>
        <v>0</v>
      </c>
      <c r="I15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5" spans="1:9" x14ac:dyDescent="0.25">
      <c r="A155" t="s">
        <v>39</v>
      </c>
      <c r="B155" t="s">
        <v>40</v>
      </c>
      <c r="C155" t="s">
        <v>101</v>
      </c>
      <c r="D155" t="s">
        <v>50</v>
      </c>
      <c r="E155" t="b">
        <f>IF(Tables[[#This Row],[ColumnType]]="Decimal",TRUE,FALSE)</f>
        <v>1</v>
      </c>
      <c r="F155" t="b">
        <f>VLOOKUP(Tables[[#This Row],[ColumnName]],Table5[#All],2)</f>
        <v>1</v>
      </c>
      <c r="G155" t="b">
        <f>IF(OR(Tables[IsCommonMetric]=TRUE,Tables[IsCommonField]=TRUE),TRUE,FALSE)</f>
        <v>1</v>
      </c>
      <c r="H155" t="b">
        <f>IF(IF(ISERROR(VLOOKUP(Tables[[#This Row],[ColumnName]],Table4[TechnicalName],1)),"NOTFOUND",VLOOKUP(Tables[[#This Row],[ColumnName]],Table4[TechnicalName],1))=Tables[[#This Row],[ColumnName]],TRUE,FALSE)</f>
        <v>1</v>
      </c>
      <c r="I15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6" spans="1:9" x14ac:dyDescent="0.25">
      <c r="A156" t="s">
        <v>39</v>
      </c>
      <c r="B156" t="s">
        <v>40</v>
      </c>
      <c r="C156" t="s">
        <v>102</v>
      </c>
      <c r="D156" t="s">
        <v>50</v>
      </c>
      <c r="E156" t="b">
        <f>IF(Tables[[#This Row],[ColumnType]]="Decimal",TRUE,FALSE)</f>
        <v>1</v>
      </c>
      <c r="F156" t="b">
        <f>VLOOKUP(Tables[[#This Row],[ColumnName]],Table5[#All],2)</f>
        <v>1</v>
      </c>
      <c r="G156" t="b">
        <f>IF(OR(Tables[IsCommonMetric]=TRUE,Tables[IsCommonField]=TRUE),TRUE,FALSE)</f>
        <v>0</v>
      </c>
      <c r="H156" t="b">
        <f>IF(IF(ISERROR(VLOOKUP(Tables[[#This Row],[ColumnName]],Table4[TechnicalName],1)),"NOTFOUND",VLOOKUP(Tables[[#This Row],[ColumnName]],Table4[TechnicalName],1))=Tables[[#This Row],[ColumnName]],TRUE,FALSE)</f>
        <v>0</v>
      </c>
      <c r="I15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7" spans="1:9" x14ac:dyDescent="0.25">
      <c r="A157" t="s">
        <v>39</v>
      </c>
      <c r="B157" t="s">
        <v>40</v>
      </c>
      <c r="C157" t="s">
        <v>83</v>
      </c>
      <c r="D157" t="s">
        <v>8</v>
      </c>
      <c r="E157" t="b">
        <f>IF(Tables[[#This Row],[ColumnType]]="Decimal",TRUE,FALSE)</f>
        <v>0</v>
      </c>
      <c r="F157" t="b">
        <f>VLOOKUP(Tables[[#This Row],[ColumnName]],Table5[#All],2)</f>
        <v>1</v>
      </c>
      <c r="G157" t="b">
        <f>IF(OR(Tables[IsCommonMetric]=TRUE,Tables[IsCommonField]=TRUE),TRUE,FALSE)</f>
        <v>0</v>
      </c>
      <c r="H157" t="b">
        <f>IF(VLOOKUP(Tables[[#This Row],[ColumnName]],Table4[TechnicalName],1)=Tables[[#This Row],[ColumnName]],TRUE,FALSE)</f>
        <v>0</v>
      </c>
      <c r="I15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8" spans="1:9" x14ac:dyDescent="0.25">
      <c r="A158" t="s">
        <v>39</v>
      </c>
      <c r="B158" t="s">
        <v>40</v>
      </c>
      <c r="C158" t="s">
        <v>84</v>
      </c>
      <c r="D158" t="s">
        <v>8</v>
      </c>
      <c r="E158" t="b">
        <f>IF(Tables[[#This Row],[ColumnType]]="Decimal",TRUE,FALSE)</f>
        <v>0</v>
      </c>
      <c r="F158" t="b">
        <f>VLOOKUP(Tables[[#This Row],[ColumnName]],Table5[#All],2)</f>
        <v>1</v>
      </c>
      <c r="G158" t="b">
        <f>IF(OR(Tables[IsCommonMetric]=TRUE,Tables[IsCommonField]=TRUE),TRUE,FALSE)</f>
        <v>0</v>
      </c>
      <c r="H158" t="b">
        <f>IF(VLOOKUP(Tables[[#This Row],[ColumnName]],Table4[TechnicalName],1)=Tables[[#This Row],[ColumnName]],TRUE,FALSE)</f>
        <v>0</v>
      </c>
      <c r="I15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59" spans="1:9" x14ac:dyDescent="0.25">
      <c r="A159" t="s">
        <v>39</v>
      </c>
      <c r="B159" t="s">
        <v>40</v>
      </c>
      <c r="C159" t="s">
        <v>67</v>
      </c>
      <c r="D159" t="s">
        <v>8</v>
      </c>
      <c r="E159" t="b">
        <f>IF(Tables[[#This Row],[ColumnType]]="Decimal",TRUE,FALSE)</f>
        <v>0</v>
      </c>
      <c r="F159" t="b">
        <f>VLOOKUP(Tables[[#This Row],[ColumnName]],Table5[#All],2)</f>
        <v>1</v>
      </c>
      <c r="G159" t="b">
        <f>IF(OR(Tables[IsCommonMetric]=TRUE,Tables[IsCommonField]=TRUE),TRUE,FALSE)</f>
        <v>0</v>
      </c>
      <c r="H159" t="b">
        <f>IF(VLOOKUP(Tables[[#This Row],[ColumnName]],Table4[TechnicalName],1)=Tables[[#This Row],[ColumnName]],TRUE,FALSE)</f>
        <v>0</v>
      </c>
      <c r="I15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0" spans="1:9" x14ac:dyDescent="0.25">
      <c r="A160" t="s">
        <v>39</v>
      </c>
      <c r="B160" t="s">
        <v>40</v>
      </c>
      <c r="C160" t="s">
        <v>186</v>
      </c>
      <c r="D160" t="s">
        <v>29</v>
      </c>
      <c r="E160" t="b">
        <f>IF(Tables[[#This Row],[ColumnType]]="Decimal",TRUE,FALSE)</f>
        <v>0</v>
      </c>
      <c r="F160" t="b">
        <f>VLOOKUP(Tables[[#This Row],[ColumnName]],Table5[#All],2)</f>
        <v>1</v>
      </c>
      <c r="G160" t="b">
        <f>IF(OR(Tables[IsCommonMetric]=TRUE,Tables[IsCommonField]=TRUE),TRUE,FALSE)</f>
        <v>0</v>
      </c>
      <c r="H160" t="b">
        <f>IF(VLOOKUP(Tables[[#This Row],[ColumnName]],Table4[TechnicalName],1)=Tables[[#This Row],[ColumnName]],TRUE,FALSE)</f>
        <v>0</v>
      </c>
      <c r="I16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1" spans="1:9" x14ac:dyDescent="0.25">
      <c r="A161" t="s">
        <v>39</v>
      </c>
      <c r="B161" t="s">
        <v>40</v>
      </c>
      <c r="C161" t="s">
        <v>107</v>
      </c>
      <c r="D161" t="s">
        <v>50</v>
      </c>
      <c r="E161" t="b">
        <f>IF(Tables[[#This Row],[ColumnType]]="Decimal",TRUE,FALSE)</f>
        <v>1</v>
      </c>
      <c r="F161" t="b">
        <f>VLOOKUP(Tables[[#This Row],[ColumnName]],Table5[#All],2)</f>
        <v>1</v>
      </c>
      <c r="G161" t="b">
        <f>IF(OR(Tables[IsCommonMetric]=TRUE,Tables[IsCommonField]=TRUE),TRUE,FALSE)</f>
        <v>0</v>
      </c>
      <c r="H161" t="b">
        <f>IF(IF(ISERROR(VLOOKUP(Tables[[#This Row],[ColumnName]],Table4[TechnicalName],1)),"NOTFOUND",VLOOKUP(Tables[[#This Row],[ColumnName]],Table4[TechnicalName],1))=Tables[[#This Row],[ColumnName]],TRUE,FALSE)</f>
        <v>0</v>
      </c>
      <c r="I16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2" spans="1:9" x14ac:dyDescent="0.25">
      <c r="A162" t="s">
        <v>39</v>
      </c>
      <c r="B162" t="s">
        <v>40</v>
      </c>
      <c r="C162" t="s">
        <v>108</v>
      </c>
      <c r="D162" t="s">
        <v>50</v>
      </c>
      <c r="E162" t="b">
        <f>IF(Tables[[#This Row],[ColumnType]]="Decimal",TRUE,FALSE)</f>
        <v>1</v>
      </c>
      <c r="F162" t="b">
        <f>VLOOKUP(Tables[[#This Row],[ColumnName]],Table5[#All],2)</f>
        <v>1</v>
      </c>
      <c r="G162" t="b">
        <f>IF(OR(Tables[IsCommonMetric]=TRUE,Tables[IsCommonField]=TRUE),TRUE,FALSE)</f>
        <v>0</v>
      </c>
      <c r="H162" t="b">
        <f>IF(IF(ISERROR(VLOOKUP(Tables[[#This Row],[ColumnName]],Table4[TechnicalName],1)),"NOTFOUND",VLOOKUP(Tables[[#This Row],[ColumnName]],Table4[TechnicalName],1))=Tables[[#This Row],[ColumnName]],TRUE,FALSE)</f>
        <v>0</v>
      </c>
      <c r="I16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3" spans="1:9" x14ac:dyDescent="0.25">
      <c r="A163" t="s">
        <v>39</v>
      </c>
      <c r="B163" t="s">
        <v>40</v>
      </c>
      <c r="C163" t="s">
        <v>156</v>
      </c>
      <c r="D163" t="s">
        <v>8</v>
      </c>
      <c r="E163" t="b">
        <f>IF(Tables[[#This Row],[ColumnType]]="Decimal",TRUE,FALSE)</f>
        <v>0</v>
      </c>
      <c r="F163" t="b">
        <f>VLOOKUP(Tables[[#This Row],[ColumnName]],Table5[#All],2)</f>
        <v>1</v>
      </c>
      <c r="G163" t="b">
        <f>IF(OR(Tables[IsCommonMetric]=TRUE,Tables[IsCommonField]=TRUE),TRUE,FALSE)</f>
        <v>0</v>
      </c>
      <c r="H163" t="b">
        <f>IF(VLOOKUP(Tables[[#This Row],[ColumnName]],Table4[TechnicalName],1)=Tables[[#This Row],[ColumnName]],TRUE,FALSE)</f>
        <v>0</v>
      </c>
      <c r="I16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4" spans="1:9" x14ac:dyDescent="0.25">
      <c r="A164" t="s">
        <v>39</v>
      </c>
      <c r="B164" t="s">
        <v>40</v>
      </c>
      <c r="C164" t="s">
        <v>145</v>
      </c>
      <c r="D164" t="s">
        <v>50</v>
      </c>
      <c r="E164" t="b">
        <f>IF(Tables[[#This Row],[ColumnType]]="Decimal",TRUE,FALSE)</f>
        <v>1</v>
      </c>
      <c r="F164" t="b">
        <f>VLOOKUP(Tables[[#This Row],[ColumnName]],Table5[#All],2)</f>
        <v>1</v>
      </c>
      <c r="G164" t="b">
        <f>IF(OR(Tables[IsCommonMetric]=TRUE,Tables[IsCommonField]=TRUE),TRUE,FALSE)</f>
        <v>0</v>
      </c>
      <c r="H164" t="b">
        <f>IF(IF(ISERROR(VLOOKUP(Tables[[#This Row],[ColumnName]],Table4[TechnicalName],1)),"NOTFOUND",VLOOKUP(Tables[[#This Row],[ColumnName]],Table4[TechnicalName],1))=Tables[[#This Row],[ColumnName]],TRUE,FALSE)</f>
        <v>0</v>
      </c>
      <c r="I16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5" spans="1:9" x14ac:dyDescent="0.25">
      <c r="A165" t="s">
        <v>39</v>
      </c>
      <c r="B165" t="s">
        <v>40</v>
      </c>
      <c r="C165" t="s">
        <v>146</v>
      </c>
      <c r="D165" t="s">
        <v>50</v>
      </c>
      <c r="E165" t="b">
        <f>IF(Tables[[#This Row],[ColumnType]]="Decimal",TRUE,FALSE)</f>
        <v>1</v>
      </c>
      <c r="F165" t="b">
        <f>VLOOKUP(Tables[[#This Row],[ColumnName]],Table5[#All],2)</f>
        <v>1</v>
      </c>
      <c r="G165" t="b">
        <f>IF(OR(Tables[IsCommonMetric]=TRUE,Tables[IsCommonField]=TRUE),TRUE,FALSE)</f>
        <v>0</v>
      </c>
      <c r="H165" t="b">
        <f>IF(IF(ISERROR(VLOOKUP(Tables[[#This Row],[ColumnName]],Table4[TechnicalName],1)),"NOTFOUND",VLOOKUP(Tables[[#This Row],[ColumnName]],Table4[TechnicalName],1))=Tables[[#This Row],[ColumnName]],TRUE,FALSE)</f>
        <v>0</v>
      </c>
      <c r="I16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6" spans="1:9" x14ac:dyDescent="0.25">
      <c r="A166" t="s">
        <v>39</v>
      </c>
      <c r="B166" t="s">
        <v>40</v>
      </c>
      <c r="C166" t="s">
        <v>139</v>
      </c>
      <c r="D166" t="s">
        <v>50</v>
      </c>
      <c r="E166" t="b">
        <f>IF(Tables[[#This Row],[ColumnType]]="Decimal",TRUE,FALSE)</f>
        <v>1</v>
      </c>
      <c r="F166" t="b">
        <f>VLOOKUP(Tables[[#This Row],[ColumnName]],Table5[#All],2)</f>
        <v>1</v>
      </c>
      <c r="G166" t="b">
        <f>IF(OR(Tables[IsCommonMetric]=TRUE,Tables[IsCommonField]=TRUE),TRUE,FALSE)</f>
        <v>0</v>
      </c>
      <c r="H166" t="b">
        <f>IF(IF(ISERROR(VLOOKUP(Tables[[#This Row],[ColumnName]],Table4[TechnicalName],1)),"NOTFOUND",VLOOKUP(Tables[[#This Row],[ColumnName]],Table4[TechnicalName],1))=Tables[[#This Row],[ColumnName]],TRUE,FALSE)</f>
        <v>0</v>
      </c>
      <c r="I16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7" spans="1:9" x14ac:dyDescent="0.25">
      <c r="A167" t="s">
        <v>39</v>
      </c>
      <c r="B167" t="s">
        <v>40</v>
      </c>
      <c r="C167" t="s">
        <v>140</v>
      </c>
      <c r="D167" t="s">
        <v>50</v>
      </c>
      <c r="E167" t="b">
        <f>IF(Tables[[#This Row],[ColumnType]]="Decimal",TRUE,FALSE)</f>
        <v>1</v>
      </c>
      <c r="F167" t="b">
        <f>VLOOKUP(Tables[[#This Row],[ColumnName]],Table5[#All],2)</f>
        <v>1</v>
      </c>
      <c r="G167" t="b">
        <f>IF(OR(Tables[IsCommonMetric]=TRUE,Tables[IsCommonField]=TRUE),TRUE,FALSE)</f>
        <v>0</v>
      </c>
      <c r="H167" t="b">
        <f>IF(IF(ISERROR(VLOOKUP(Tables[[#This Row],[ColumnName]],Table4[TechnicalName],1)),"NOTFOUND",VLOOKUP(Tables[[#This Row],[ColumnName]],Table4[TechnicalName],1))=Tables[[#This Row],[ColumnName]],TRUE,FALSE)</f>
        <v>0</v>
      </c>
      <c r="I16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68" spans="1:9" x14ac:dyDescent="0.25">
      <c r="A168" t="s">
        <v>39</v>
      </c>
      <c r="B168" t="s">
        <v>40</v>
      </c>
      <c r="C168" t="s">
        <v>100</v>
      </c>
      <c r="D168" t="s">
        <v>8</v>
      </c>
      <c r="E168" t="b">
        <f>IF(Tables[[#This Row],[ColumnType]]="Decimal",TRUE,FALSE)</f>
        <v>0</v>
      </c>
      <c r="F168" t="b">
        <f>VLOOKUP(Tables[[#This Row],[ColumnName]],Table5[#All],2)</f>
        <v>1</v>
      </c>
      <c r="G168" t="b">
        <f>IF(OR(Tables[IsCommonMetric]=TRUE,Tables[IsCommonField]=TRUE),TRUE,FALSE)</f>
        <v>1</v>
      </c>
      <c r="H168" t="b">
        <f>IF(VLOOKUP(Tables[[#This Row],[ColumnName]],Table4[TechnicalName],1)=Tables[[#This Row],[ColumnName]],TRUE,FALSE)</f>
        <v>0</v>
      </c>
      <c r="I168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169" spans="1:9" x14ac:dyDescent="0.25">
      <c r="A169" t="s">
        <v>39</v>
      </c>
      <c r="B169" t="s">
        <v>40</v>
      </c>
      <c r="C169" t="s">
        <v>41</v>
      </c>
      <c r="D169" t="s">
        <v>8</v>
      </c>
      <c r="E169" t="b">
        <f>IF(Tables[[#This Row],[ColumnType]]="Decimal",TRUE,FALSE)</f>
        <v>0</v>
      </c>
      <c r="F169" t="b">
        <f>VLOOKUP(Tables[[#This Row],[ColumnName]],Table5[#All],2)</f>
        <v>1</v>
      </c>
      <c r="G169" t="b">
        <f>IF(OR(Tables[IsCommonMetric]=TRUE,Tables[IsCommonField]=TRUE),TRUE,FALSE)</f>
        <v>0</v>
      </c>
      <c r="H169" t="b">
        <f>IF(VLOOKUP(Tables[[#This Row],[ColumnName]],Table4[TechnicalName],1)=Tables[[#This Row],[ColumnName]],TRUE,FALSE)</f>
        <v>0</v>
      </c>
      <c r="I16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0" spans="1:9" x14ac:dyDescent="0.25">
      <c r="A170" t="s">
        <v>39</v>
      </c>
      <c r="B170" t="s">
        <v>40</v>
      </c>
      <c r="C170" t="s">
        <v>170</v>
      </c>
      <c r="D170" t="s">
        <v>50</v>
      </c>
      <c r="E170" t="b">
        <f>IF(Tables[[#This Row],[ColumnType]]="Decimal",TRUE,FALSE)</f>
        <v>1</v>
      </c>
      <c r="F170" t="b">
        <f>VLOOKUP(Tables[[#This Row],[ColumnName]],Table5[#All],2)</f>
        <v>0</v>
      </c>
      <c r="G170" t="b">
        <f>IF(OR(Tables[IsCommonMetric]=TRUE,Tables[IsCommonField]=TRUE),TRUE,FALSE)</f>
        <v>0</v>
      </c>
      <c r="H170" t="b">
        <f>IF(IF(ISERROR(VLOOKUP(Tables[[#This Row],[ColumnName]],Table4[TechnicalName],1)),"NOTFOUND",VLOOKUP(Tables[[#This Row],[ColumnName]],Table4[TechnicalName],1))=Tables[[#This Row],[ColumnName]],TRUE,FALSE)</f>
        <v>0</v>
      </c>
      <c r="I17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1" spans="1:9" x14ac:dyDescent="0.25">
      <c r="A171" t="s">
        <v>39</v>
      </c>
      <c r="B171" t="s">
        <v>40</v>
      </c>
      <c r="C171" t="s">
        <v>56</v>
      </c>
      <c r="D171" t="s">
        <v>8</v>
      </c>
      <c r="E171" t="b">
        <f>IF(Tables[[#This Row],[ColumnType]]="Decimal",TRUE,FALSE)</f>
        <v>0</v>
      </c>
      <c r="F171" t="b">
        <f>VLOOKUP(Tables[[#This Row],[ColumnName]],Table5[#All],2)</f>
        <v>0</v>
      </c>
      <c r="G171" t="b">
        <f>IF(OR(Tables[IsCommonMetric]=TRUE,Tables[IsCommonField]=TRUE),TRUE,FALSE)</f>
        <v>0</v>
      </c>
      <c r="H171" t="b">
        <f>IF(VLOOKUP(Tables[[#This Row],[ColumnName]],Table4[TechnicalName],1)=Tables[[#This Row],[ColumnName]],TRUE,FALSE)</f>
        <v>0</v>
      </c>
      <c r="I17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2" spans="1:9" x14ac:dyDescent="0.25">
      <c r="A172" t="s">
        <v>39</v>
      </c>
      <c r="B172" t="s">
        <v>40</v>
      </c>
      <c r="C172" t="s">
        <v>123</v>
      </c>
      <c r="D172" t="s">
        <v>50</v>
      </c>
      <c r="E172" t="b">
        <f>IF(Tables[[#This Row],[ColumnType]]="Decimal",TRUE,FALSE)</f>
        <v>1</v>
      </c>
      <c r="F172" t="b">
        <f>VLOOKUP(Tables[[#This Row],[ColumnName]],Table5[#All],2)</f>
        <v>1</v>
      </c>
      <c r="G172" t="b">
        <f>IF(OR(Tables[IsCommonMetric]=TRUE,Tables[IsCommonField]=TRUE),TRUE,FALSE)</f>
        <v>0</v>
      </c>
      <c r="H172" t="b">
        <f>IF(IF(ISERROR(VLOOKUP(Tables[[#This Row],[ColumnName]],Table4[TechnicalName],1)),"NOTFOUND",VLOOKUP(Tables[[#This Row],[ColumnName]],Table4[TechnicalName],1))=Tables[[#This Row],[ColumnName]],TRUE,FALSE)</f>
        <v>0</v>
      </c>
      <c r="I17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3" spans="1:9" x14ac:dyDescent="0.25">
      <c r="A173" t="s">
        <v>39</v>
      </c>
      <c r="B173" t="s">
        <v>40</v>
      </c>
      <c r="C173" t="s">
        <v>124</v>
      </c>
      <c r="D173" t="s">
        <v>50</v>
      </c>
      <c r="E173" t="b">
        <f>IF(Tables[[#This Row],[ColumnType]]="Decimal",TRUE,FALSE)</f>
        <v>1</v>
      </c>
      <c r="F173" t="b">
        <f>VLOOKUP(Tables[[#This Row],[ColumnName]],Table5[#All],2)</f>
        <v>1</v>
      </c>
      <c r="G173" t="b">
        <f>IF(OR(Tables[IsCommonMetric]=TRUE,Tables[IsCommonField]=TRUE),TRUE,FALSE)</f>
        <v>0</v>
      </c>
      <c r="H173" t="b">
        <f>IF(IF(ISERROR(VLOOKUP(Tables[[#This Row],[ColumnName]],Table4[TechnicalName],1)),"NOTFOUND",VLOOKUP(Tables[[#This Row],[ColumnName]],Table4[TechnicalName],1))=Tables[[#This Row],[ColumnName]],TRUE,FALSE)</f>
        <v>0</v>
      </c>
      <c r="I17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4" spans="1:9" x14ac:dyDescent="0.25">
      <c r="A174" t="s">
        <v>39</v>
      </c>
      <c r="B174" t="s">
        <v>40</v>
      </c>
      <c r="C174" t="s">
        <v>112</v>
      </c>
      <c r="D174" t="s">
        <v>50</v>
      </c>
      <c r="E174" t="b">
        <f>IF(Tables[[#This Row],[ColumnType]]="Decimal",TRUE,FALSE)</f>
        <v>1</v>
      </c>
      <c r="F174" t="b">
        <f>VLOOKUP(Tables[[#This Row],[ColumnName]],Table5[#All],2)</f>
        <v>1</v>
      </c>
      <c r="G174" t="b">
        <f>IF(OR(Tables[IsCommonMetric]=TRUE,Tables[IsCommonField]=TRUE),TRUE,FALSE)</f>
        <v>1</v>
      </c>
      <c r="H174" t="b">
        <f>IF(IF(ISERROR(VLOOKUP(Tables[[#This Row],[ColumnName]],Table4[TechnicalName],1)),"NOTFOUND",VLOOKUP(Tables[[#This Row],[ColumnName]],Table4[TechnicalName],1))=Tables[[#This Row],[ColumnName]],TRUE,FALSE)</f>
        <v>1</v>
      </c>
      <c r="I17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5" spans="1:9" x14ac:dyDescent="0.25">
      <c r="A175" t="s">
        <v>39</v>
      </c>
      <c r="B175" t="s">
        <v>40</v>
      </c>
      <c r="C175" t="s">
        <v>113</v>
      </c>
      <c r="D175" t="s">
        <v>50</v>
      </c>
      <c r="E175" t="b">
        <f>IF(Tables[[#This Row],[ColumnType]]="Decimal",TRUE,FALSE)</f>
        <v>1</v>
      </c>
      <c r="F175" t="b">
        <f>VLOOKUP(Tables[[#This Row],[ColumnName]],Table5[#All],2)</f>
        <v>1</v>
      </c>
      <c r="G175" t="b">
        <f>IF(OR(Tables[IsCommonMetric]=TRUE,Tables[IsCommonField]=TRUE),TRUE,FALSE)</f>
        <v>0</v>
      </c>
      <c r="H175" t="b">
        <f>IF(IF(ISERROR(VLOOKUP(Tables[[#This Row],[ColumnName]],Table4[TechnicalName],1)),"NOTFOUND",VLOOKUP(Tables[[#This Row],[ColumnName]],Table4[TechnicalName],1))=Tables[[#This Row],[ColumnName]],TRUE,FALSE)</f>
        <v>0</v>
      </c>
      <c r="I17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6" spans="1:9" x14ac:dyDescent="0.25">
      <c r="A176" t="s">
        <v>39</v>
      </c>
      <c r="B176" t="s">
        <v>40</v>
      </c>
      <c r="C176" t="s">
        <v>158</v>
      </c>
      <c r="D176" t="s">
        <v>8</v>
      </c>
      <c r="E176" t="b">
        <f>IF(Tables[[#This Row],[ColumnType]]="Decimal",TRUE,FALSE)</f>
        <v>0</v>
      </c>
      <c r="F176" t="b">
        <f>VLOOKUP(Tables[[#This Row],[ColumnName]],Table5[#All],2)</f>
        <v>1</v>
      </c>
      <c r="G176" t="b">
        <f>IF(OR(Tables[IsCommonMetric]=TRUE,Tables[IsCommonField]=TRUE),TRUE,FALSE)</f>
        <v>0</v>
      </c>
      <c r="H176" t="b">
        <f>IF(VLOOKUP(Tables[[#This Row],[ColumnName]],Table4[TechnicalName],1)=Tables[[#This Row],[ColumnName]],TRUE,FALSE)</f>
        <v>0</v>
      </c>
      <c r="I17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7" spans="1:9" x14ac:dyDescent="0.25">
      <c r="A177" t="s">
        <v>39</v>
      </c>
      <c r="B177" t="s">
        <v>40</v>
      </c>
      <c r="C177" t="s">
        <v>196</v>
      </c>
      <c r="D177" t="s">
        <v>50</v>
      </c>
      <c r="E177" t="b">
        <f>IF(Tables[[#This Row],[ColumnType]]="Decimal",TRUE,FALSE)</f>
        <v>1</v>
      </c>
      <c r="F177" t="b">
        <f>VLOOKUP(Tables[[#This Row],[ColumnName]],Table5[#All],2)</f>
        <v>0</v>
      </c>
      <c r="G177" t="b">
        <f>IF(OR(Tables[IsCommonMetric]=TRUE,Tables[IsCommonField]=TRUE),TRUE,FALSE)</f>
        <v>0</v>
      </c>
      <c r="H177" t="b">
        <f>IF(IF(ISERROR(VLOOKUP(Tables[[#This Row],[ColumnName]],Table4[TechnicalName],1)),"NOTFOUND",VLOOKUP(Tables[[#This Row],[ColumnName]],Table4[TechnicalName],1))=Tables[[#This Row],[ColumnName]],TRUE,FALSE)</f>
        <v>0</v>
      </c>
      <c r="I17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8" spans="1:9" x14ac:dyDescent="0.25">
      <c r="A178" t="s">
        <v>39</v>
      </c>
      <c r="B178" t="s">
        <v>40</v>
      </c>
      <c r="C178" t="s">
        <v>187</v>
      </c>
      <c r="D178" t="s">
        <v>29</v>
      </c>
      <c r="E178" t="b">
        <f>IF(Tables[[#This Row],[ColumnType]]="Decimal",TRUE,FALSE)</f>
        <v>0</v>
      </c>
      <c r="F178" t="b">
        <f>VLOOKUP(Tables[[#This Row],[ColumnName]],Table5[#All],2)</f>
        <v>0</v>
      </c>
      <c r="G178" t="b">
        <f>IF(OR(Tables[IsCommonMetric]=TRUE,Tables[IsCommonField]=TRUE),TRUE,FALSE)</f>
        <v>0</v>
      </c>
      <c r="H178" t="b">
        <f>IF(VLOOKUP(Tables[[#This Row],[ColumnName]],Table4[TechnicalName],1)=Tables[[#This Row],[ColumnName]],TRUE,FALSE)</f>
        <v>0</v>
      </c>
      <c r="I17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79" spans="1:9" x14ac:dyDescent="0.25">
      <c r="A179" t="s">
        <v>39</v>
      </c>
      <c r="B179" t="s">
        <v>40</v>
      </c>
      <c r="C179" t="s">
        <v>192</v>
      </c>
      <c r="D179" t="s">
        <v>8</v>
      </c>
      <c r="E179" t="b">
        <f>IF(Tables[[#This Row],[ColumnType]]="Decimal",TRUE,FALSE)</f>
        <v>0</v>
      </c>
      <c r="F179" t="b">
        <f>VLOOKUP(Tables[[#This Row],[ColumnName]],Table5[#All],2)</f>
        <v>0</v>
      </c>
      <c r="G179" t="b">
        <f>IF(OR(Tables[IsCommonMetric]=TRUE,Tables[IsCommonField]=TRUE),TRUE,FALSE)</f>
        <v>0</v>
      </c>
      <c r="H179" t="b">
        <f>IF(VLOOKUP(Tables[[#This Row],[ColumnName]],Table4[TechnicalName],1)=Tables[[#This Row],[ColumnName]],TRUE,FALSE)</f>
        <v>0</v>
      </c>
      <c r="I17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0" spans="1:9" x14ac:dyDescent="0.25">
      <c r="A180" t="s">
        <v>39</v>
      </c>
      <c r="B180" t="s">
        <v>40</v>
      </c>
      <c r="C180" t="s">
        <v>174</v>
      </c>
      <c r="D180" t="s">
        <v>50</v>
      </c>
      <c r="E180" t="b">
        <f>IF(Tables[[#This Row],[ColumnType]]="Decimal",TRUE,FALSE)</f>
        <v>1</v>
      </c>
      <c r="F180" t="b">
        <f>VLOOKUP(Tables[[#This Row],[ColumnName]],Table5[#All],2)</f>
        <v>0</v>
      </c>
      <c r="G180" t="b">
        <f>IF(OR(Tables[IsCommonMetric]=TRUE,Tables[IsCommonField]=TRUE),TRUE,FALSE)</f>
        <v>0</v>
      </c>
      <c r="H180" t="b">
        <f>IF(IF(ISERROR(VLOOKUP(Tables[[#This Row],[ColumnName]],Table4[TechnicalName],1)),"NOTFOUND",VLOOKUP(Tables[[#This Row],[ColumnName]],Table4[TechnicalName],1))=Tables[[#This Row],[ColumnName]],TRUE,FALSE)</f>
        <v>0</v>
      </c>
      <c r="I18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1" spans="1:9" x14ac:dyDescent="0.25">
      <c r="A181" t="s">
        <v>39</v>
      </c>
      <c r="B181" t="s">
        <v>40</v>
      </c>
      <c r="C181" t="s">
        <v>159</v>
      </c>
      <c r="D181" t="s">
        <v>8</v>
      </c>
      <c r="E181" t="b">
        <f>IF(Tables[[#This Row],[ColumnType]]="Decimal",TRUE,FALSE)</f>
        <v>0</v>
      </c>
      <c r="F181" t="b">
        <f>VLOOKUP(Tables[[#This Row],[ColumnName]],Table5[#All],2)</f>
        <v>0</v>
      </c>
      <c r="G181" t="b">
        <f>IF(OR(Tables[IsCommonMetric]=TRUE,Tables[IsCommonField]=TRUE),TRUE,FALSE)</f>
        <v>0</v>
      </c>
      <c r="H181" t="b">
        <f>IF(VLOOKUP(Tables[[#This Row],[ColumnName]],Table4[TechnicalName],1)=Tables[[#This Row],[ColumnName]],TRUE,FALSE)</f>
        <v>0</v>
      </c>
      <c r="I18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2" spans="1:9" x14ac:dyDescent="0.25">
      <c r="A182" t="s">
        <v>39</v>
      </c>
      <c r="B182" t="s">
        <v>40</v>
      </c>
      <c r="C182" t="s">
        <v>44</v>
      </c>
      <c r="D182" t="s">
        <v>8</v>
      </c>
      <c r="E182" t="b">
        <f>IF(Tables[[#This Row],[ColumnType]]="Decimal",TRUE,FALSE)</f>
        <v>0</v>
      </c>
      <c r="F182" t="b">
        <f>VLOOKUP(Tables[[#This Row],[ColumnName]],Table5[#All],2)</f>
        <v>0</v>
      </c>
      <c r="G182" t="b">
        <f>IF(OR(Tables[IsCommonMetric]=TRUE,Tables[IsCommonField]=TRUE),TRUE,FALSE)</f>
        <v>1</v>
      </c>
      <c r="H182" t="b">
        <f>IF(VLOOKUP(Tables[[#This Row],[ColumnName]],Table4[TechnicalName],1)=Tables[[#This Row],[ColumnName]],TRUE,FALSE)</f>
        <v>0</v>
      </c>
      <c r="I182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183" spans="1:9" x14ac:dyDescent="0.25">
      <c r="A183" t="s">
        <v>39</v>
      </c>
      <c r="B183" t="s">
        <v>40</v>
      </c>
      <c r="C183" t="s">
        <v>77</v>
      </c>
      <c r="D183" t="s">
        <v>8</v>
      </c>
      <c r="E183" t="b">
        <f>IF(Tables[[#This Row],[ColumnType]]="Decimal",TRUE,FALSE)</f>
        <v>0</v>
      </c>
      <c r="F183" t="b">
        <f>VLOOKUP(Tables[[#This Row],[ColumnName]],Table5[#All],2)</f>
        <v>0</v>
      </c>
      <c r="G183" t="b">
        <f>IF(OR(Tables[IsCommonMetric]=TRUE,Tables[IsCommonField]=TRUE),TRUE,FALSE)</f>
        <v>0</v>
      </c>
      <c r="H183" t="b">
        <f>IF(VLOOKUP(Tables[[#This Row],[ColumnName]],Table4[TechnicalName],1)=Tables[[#This Row],[ColumnName]],TRUE,FALSE)</f>
        <v>0</v>
      </c>
      <c r="I18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4" spans="1:9" x14ac:dyDescent="0.25">
      <c r="A184" t="s">
        <v>39</v>
      </c>
      <c r="B184" t="s">
        <v>40</v>
      </c>
      <c r="C184" t="s">
        <v>75</v>
      </c>
      <c r="D184" t="s">
        <v>8</v>
      </c>
      <c r="E184" t="b">
        <f>IF(Tables[[#This Row],[ColumnType]]="Decimal",TRUE,FALSE)</f>
        <v>0</v>
      </c>
      <c r="F184" t="b">
        <f>VLOOKUP(Tables[[#This Row],[ColumnName]],Table5[#All],2)</f>
        <v>0</v>
      </c>
      <c r="G184" t="b">
        <f>IF(OR(Tables[IsCommonMetric]=TRUE,Tables[IsCommonField]=TRUE),TRUE,FALSE)</f>
        <v>0</v>
      </c>
      <c r="H184" t="b">
        <f>IF(VLOOKUP(Tables[[#This Row],[ColumnName]],Table4[TechnicalName],1)=Tables[[#This Row],[ColumnName]],TRUE,FALSE)</f>
        <v>0</v>
      </c>
      <c r="I18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5" spans="1:9" x14ac:dyDescent="0.25">
      <c r="A185" t="s">
        <v>39</v>
      </c>
      <c r="B185" t="s">
        <v>40</v>
      </c>
      <c r="C185" t="s">
        <v>78</v>
      </c>
      <c r="D185" t="s">
        <v>8</v>
      </c>
      <c r="E185" t="b">
        <f>IF(Tables[[#This Row],[ColumnType]]="Decimal",TRUE,FALSE)</f>
        <v>0</v>
      </c>
      <c r="F185" t="b">
        <f>VLOOKUP(Tables[[#This Row],[ColumnName]],Table5[#All],2)</f>
        <v>0</v>
      </c>
      <c r="G185" t="b">
        <f>IF(OR(Tables[IsCommonMetric]=TRUE,Tables[IsCommonField]=TRUE),TRUE,FALSE)</f>
        <v>0</v>
      </c>
      <c r="H185" t="b">
        <f>IF(VLOOKUP(Tables[[#This Row],[ColumnName]],Table4[TechnicalName],1)=Tables[[#This Row],[ColumnName]],TRUE,FALSE)</f>
        <v>0</v>
      </c>
      <c r="I18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6" spans="1:9" x14ac:dyDescent="0.25">
      <c r="A186" t="s">
        <v>39</v>
      </c>
      <c r="B186" t="s">
        <v>40</v>
      </c>
      <c r="C186" t="s">
        <v>34</v>
      </c>
      <c r="D186" t="s">
        <v>8</v>
      </c>
      <c r="E186" t="b">
        <f>IF(Tables[[#This Row],[ColumnType]]="Decimal",TRUE,FALSE)</f>
        <v>0</v>
      </c>
      <c r="F186" t="b">
        <f>VLOOKUP(Tables[[#This Row],[ColumnName]],Table5[#All],2)</f>
        <v>0</v>
      </c>
      <c r="G186" t="b">
        <f>IF(OR(Tables[IsCommonMetric]=TRUE,Tables[IsCommonField]=TRUE),TRUE,FALSE)</f>
        <v>0</v>
      </c>
      <c r="H186" t="b">
        <f>IF(VLOOKUP(Tables[[#This Row],[ColumnName]],Table4[TechnicalName],1)=Tables[[#This Row],[ColumnName]],TRUE,FALSE)</f>
        <v>0</v>
      </c>
      <c r="I18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7" spans="1:9" x14ac:dyDescent="0.25">
      <c r="A187" t="s">
        <v>39</v>
      </c>
      <c r="B187" t="s">
        <v>40</v>
      </c>
      <c r="C187" t="s">
        <v>65</v>
      </c>
      <c r="D187" t="s">
        <v>8</v>
      </c>
      <c r="E187" t="b">
        <f>IF(Tables[[#This Row],[ColumnType]]="Decimal",TRUE,FALSE)</f>
        <v>0</v>
      </c>
      <c r="F187" t="b">
        <f>VLOOKUP(Tables[[#This Row],[ColumnName]],Table5[#All],2)</f>
        <v>0</v>
      </c>
      <c r="G187" t="b">
        <f>IF(OR(Tables[IsCommonMetric]=TRUE,Tables[IsCommonField]=TRUE),TRUE,FALSE)</f>
        <v>0</v>
      </c>
      <c r="H187" t="b">
        <f>IF(VLOOKUP(Tables[[#This Row],[ColumnName]],Table4[TechnicalName],1)=Tables[[#This Row],[ColumnName]],TRUE,FALSE)</f>
        <v>0</v>
      </c>
      <c r="I18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8" spans="1:9" x14ac:dyDescent="0.25">
      <c r="A188" t="s">
        <v>39</v>
      </c>
      <c r="B188" t="s">
        <v>40</v>
      </c>
      <c r="C188" t="s">
        <v>165</v>
      </c>
      <c r="D188" t="s">
        <v>50</v>
      </c>
      <c r="E188" t="b">
        <f>IF(Tables[[#This Row],[ColumnType]]="Decimal",TRUE,FALSE)</f>
        <v>1</v>
      </c>
      <c r="F188" t="b">
        <f>VLOOKUP(Tables[[#This Row],[ColumnName]],Table5[#All],2)</f>
        <v>1</v>
      </c>
      <c r="G188" t="b">
        <f>IF(OR(Tables[IsCommonMetric]=TRUE,Tables[IsCommonField]=TRUE),TRUE,FALSE)</f>
        <v>0</v>
      </c>
      <c r="H188" t="b">
        <f>IF(IF(ISERROR(VLOOKUP(Tables[[#This Row],[ColumnName]],Table4[TechnicalName],1)),"NOTFOUND",VLOOKUP(Tables[[#This Row],[ColumnName]],Table4[TechnicalName],1))=Tables[[#This Row],[ColumnName]],TRUE,FALSE)</f>
        <v>0</v>
      </c>
      <c r="I18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89" spans="1:9" x14ac:dyDescent="0.25">
      <c r="A189" t="s">
        <v>39</v>
      </c>
      <c r="B189" t="s">
        <v>40</v>
      </c>
      <c r="C189" t="s">
        <v>166</v>
      </c>
      <c r="D189" t="s">
        <v>50</v>
      </c>
      <c r="E189" t="b">
        <f>IF(Tables[[#This Row],[ColumnType]]="Decimal",TRUE,FALSE)</f>
        <v>1</v>
      </c>
      <c r="F189" t="b">
        <f>VLOOKUP(Tables[[#This Row],[ColumnName]],Table5[#All],2)</f>
        <v>1</v>
      </c>
      <c r="G189" t="b">
        <f>IF(OR(Tables[IsCommonMetric]=TRUE,Tables[IsCommonField]=TRUE),TRUE,FALSE)</f>
        <v>0</v>
      </c>
      <c r="H189" t="b">
        <f>IF(IF(ISERROR(VLOOKUP(Tables[[#This Row],[ColumnName]],Table4[TechnicalName],1)),"NOTFOUND",VLOOKUP(Tables[[#This Row],[ColumnName]],Table4[TechnicalName],1))=Tables[[#This Row],[ColumnName]],TRUE,FALSE)</f>
        <v>0</v>
      </c>
      <c r="I18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0" spans="1:9" x14ac:dyDescent="0.25">
      <c r="A190" t="s">
        <v>39</v>
      </c>
      <c r="B190" t="s">
        <v>40</v>
      </c>
      <c r="C190" t="s">
        <v>91</v>
      </c>
      <c r="D190" t="s">
        <v>8</v>
      </c>
      <c r="E190" t="b">
        <f>IF(Tables[[#This Row],[ColumnType]]="Decimal",TRUE,FALSE)</f>
        <v>0</v>
      </c>
      <c r="F190" t="b">
        <f>VLOOKUP(Tables[[#This Row],[ColumnName]],Table5[#All],2)</f>
        <v>1</v>
      </c>
      <c r="G190" t="b">
        <f>IF(OR(Tables[IsCommonMetric]=TRUE,Tables[IsCommonField]=TRUE),TRUE,FALSE)</f>
        <v>0</v>
      </c>
      <c r="H190" t="b">
        <f>IF(VLOOKUP(Tables[[#This Row],[ColumnName]],Table4[TechnicalName],1)=Tables[[#This Row],[ColumnName]],TRUE,FALSE)</f>
        <v>0</v>
      </c>
      <c r="I19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1" spans="1:9" x14ac:dyDescent="0.25">
      <c r="A191" t="s">
        <v>39</v>
      </c>
      <c r="B191" t="s">
        <v>40</v>
      </c>
      <c r="C191" t="s">
        <v>182</v>
      </c>
      <c r="D191" t="s">
        <v>8</v>
      </c>
      <c r="E191" t="b">
        <f>IF(Tables[[#This Row],[ColumnType]]="Decimal",TRUE,FALSE)</f>
        <v>0</v>
      </c>
      <c r="F191" t="b">
        <f>VLOOKUP(Tables[[#This Row],[ColumnName]],Table5[#All],2)</f>
        <v>1</v>
      </c>
      <c r="G191" t="b">
        <f>IF(OR(Tables[IsCommonMetric]=TRUE,Tables[IsCommonField]=TRUE),TRUE,FALSE)</f>
        <v>0</v>
      </c>
      <c r="H191" t="b">
        <f>IF(VLOOKUP(Tables[[#This Row],[ColumnName]],Table4[TechnicalName],1)=Tables[[#This Row],[ColumnName]],TRUE,FALSE)</f>
        <v>0</v>
      </c>
      <c r="I19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2" spans="1:9" x14ac:dyDescent="0.25">
      <c r="A192" t="s">
        <v>39</v>
      </c>
      <c r="B192" t="s">
        <v>40</v>
      </c>
      <c r="C192" t="s">
        <v>181</v>
      </c>
      <c r="D192" t="s">
        <v>8</v>
      </c>
      <c r="E192" t="b">
        <f>IF(Tables[[#This Row],[ColumnType]]="Decimal",TRUE,FALSE)</f>
        <v>0</v>
      </c>
      <c r="F192" t="b">
        <f>VLOOKUP(Tables[[#This Row],[ColumnName]],Table5[#All],2)</f>
        <v>1</v>
      </c>
      <c r="G192" t="b">
        <f>IF(OR(Tables[IsCommonMetric]=TRUE,Tables[IsCommonField]=TRUE),TRUE,FALSE)</f>
        <v>0</v>
      </c>
      <c r="H192" t="b">
        <f>IF(VLOOKUP(Tables[[#This Row],[ColumnName]],Table4[TechnicalName],1)=Tables[[#This Row],[ColumnName]],TRUE,FALSE)</f>
        <v>0</v>
      </c>
      <c r="I19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3" spans="1:9" x14ac:dyDescent="0.25">
      <c r="A193" t="s">
        <v>39</v>
      </c>
      <c r="B193" t="s">
        <v>40</v>
      </c>
      <c r="C193" t="s">
        <v>149</v>
      </c>
      <c r="D193" t="s">
        <v>50</v>
      </c>
      <c r="E193" t="b">
        <f>IF(Tables[[#This Row],[ColumnType]]="Decimal",TRUE,FALSE)</f>
        <v>1</v>
      </c>
      <c r="F193" t="b">
        <f>VLOOKUP(Tables[[#This Row],[ColumnName]],Table5[#All],2)</f>
        <v>1</v>
      </c>
      <c r="G193" t="b">
        <f>IF(OR(Tables[IsCommonMetric]=TRUE,Tables[IsCommonField]=TRUE),TRUE,FALSE)</f>
        <v>1</v>
      </c>
      <c r="H193" t="b">
        <f>IF(IF(ISERROR(VLOOKUP(Tables[[#This Row],[ColumnName]],Table4[TechnicalName],1)),"NOTFOUND",VLOOKUP(Tables[[#This Row],[ColumnName]],Table4[TechnicalName],1))=Tables[[#This Row],[ColumnName]],TRUE,FALSE)</f>
        <v>1</v>
      </c>
      <c r="I19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4" spans="1:9" x14ac:dyDescent="0.25">
      <c r="A194" t="s">
        <v>39</v>
      </c>
      <c r="B194" t="s">
        <v>40</v>
      </c>
      <c r="C194" t="s">
        <v>150</v>
      </c>
      <c r="D194" t="s">
        <v>50</v>
      </c>
      <c r="E194" t="b">
        <f>IF(Tables[[#This Row],[ColumnType]]="Decimal",TRUE,FALSE)</f>
        <v>1</v>
      </c>
      <c r="F194" t="b">
        <f>VLOOKUP(Tables[[#This Row],[ColumnName]],Table5[#All],2)</f>
        <v>1</v>
      </c>
      <c r="G194" t="b">
        <f>IF(OR(Tables[IsCommonMetric]=TRUE,Tables[IsCommonField]=TRUE),TRUE,FALSE)</f>
        <v>0</v>
      </c>
      <c r="H194" t="b">
        <f>IF(IF(ISERROR(VLOOKUP(Tables[[#This Row],[ColumnName]],Table4[TechnicalName],1)),"NOTFOUND",VLOOKUP(Tables[[#This Row],[ColumnName]],Table4[TechnicalName],1))=Tables[[#This Row],[ColumnName]],TRUE,FALSE)</f>
        <v>0</v>
      </c>
      <c r="I19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5" spans="1:9" x14ac:dyDescent="0.25">
      <c r="A195" t="s">
        <v>39</v>
      </c>
      <c r="B195" t="s">
        <v>40</v>
      </c>
      <c r="C195" t="s">
        <v>116</v>
      </c>
      <c r="D195" t="s">
        <v>50</v>
      </c>
      <c r="E195" t="b">
        <f>IF(Tables[[#This Row],[ColumnType]]="Decimal",TRUE,FALSE)</f>
        <v>1</v>
      </c>
      <c r="F195" t="b">
        <f>VLOOKUP(Tables[[#This Row],[ColumnName]],Table5[#All],2)</f>
        <v>1</v>
      </c>
      <c r="G195" t="b">
        <f>IF(OR(Tables[IsCommonMetric]=TRUE,Tables[IsCommonField]=TRUE),TRUE,FALSE)</f>
        <v>1</v>
      </c>
      <c r="H195" t="b">
        <f>IF(IF(ISERROR(VLOOKUP(Tables[[#This Row],[ColumnName]],Table4[TechnicalName],1)),"NOTFOUND",VLOOKUP(Tables[[#This Row],[ColumnName]],Table4[TechnicalName],1))=Tables[[#This Row],[ColumnName]],TRUE,FALSE)</f>
        <v>1</v>
      </c>
      <c r="I19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6" spans="1:9" x14ac:dyDescent="0.25">
      <c r="A196" t="s">
        <v>39</v>
      </c>
      <c r="B196" t="s">
        <v>40</v>
      </c>
      <c r="C196" t="s">
        <v>117</v>
      </c>
      <c r="D196" t="s">
        <v>50</v>
      </c>
      <c r="E196" t="b">
        <f>IF(Tables[[#This Row],[ColumnType]]="Decimal",TRUE,FALSE)</f>
        <v>1</v>
      </c>
      <c r="F196" t="b">
        <f>VLOOKUP(Tables[[#This Row],[ColumnName]],Table5[#All],2)</f>
        <v>1</v>
      </c>
      <c r="G196" t="b">
        <f>IF(OR(Tables[IsCommonMetric]=TRUE,Tables[IsCommonField]=TRUE),TRUE,FALSE)</f>
        <v>0</v>
      </c>
      <c r="H196" t="b">
        <f>IF(IF(ISERROR(VLOOKUP(Tables[[#This Row],[ColumnName]],Table4[TechnicalName],1)),"NOTFOUND",VLOOKUP(Tables[[#This Row],[ColumnName]],Table4[TechnicalName],1))=Tables[[#This Row],[ColumnName]],TRUE,FALSE)</f>
        <v>0</v>
      </c>
      <c r="I19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7" spans="1:9" x14ac:dyDescent="0.25">
      <c r="A197" t="s">
        <v>39</v>
      </c>
      <c r="B197" t="s">
        <v>40</v>
      </c>
      <c r="C197" t="s">
        <v>143</v>
      </c>
      <c r="D197" t="s">
        <v>50</v>
      </c>
      <c r="E197" t="b">
        <f>IF(Tables[[#This Row],[ColumnType]]="Decimal",TRUE,FALSE)</f>
        <v>1</v>
      </c>
      <c r="F197" t="b">
        <f>VLOOKUP(Tables[[#This Row],[ColumnName]],Table5[#All],2)</f>
        <v>1</v>
      </c>
      <c r="G197" t="b">
        <f>IF(OR(Tables[IsCommonMetric]=TRUE,Tables[IsCommonField]=TRUE),TRUE,FALSE)</f>
        <v>0</v>
      </c>
      <c r="H197" t="b">
        <f>IF(IF(ISERROR(VLOOKUP(Tables[[#This Row],[ColumnName]],Table4[TechnicalName],1)),"NOTFOUND",VLOOKUP(Tables[[#This Row],[ColumnName]],Table4[TechnicalName],1))=Tables[[#This Row],[ColumnName]],TRUE,FALSE)</f>
        <v>0</v>
      </c>
      <c r="I19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8" spans="1:9" x14ac:dyDescent="0.25">
      <c r="A198" t="s">
        <v>39</v>
      </c>
      <c r="B198" t="s">
        <v>40</v>
      </c>
      <c r="C198" t="s">
        <v>144</v>
      </c>
      <c r="D198" t="s">
        <v>50</v>
      </c>
      <c r="E198" t="b">
        <f>IF(Tables[[#This Row],[ColumnType]]="Decimal",TRUE,FALSE)</f>
        <v>1</v>
      </c>
      <c r="F198" t="b">
        <f>VLOOKUP(Tables[[#This Row],[ColumnName]],Table5[#All],2)</f>
        <v>1</v>
      </c>
      <c r="G198" t="b">
        <f>IF(OR(Tables[IsCommonMetric]=TRUE,Tables[IsCommonField]=TRUE),TRUE,FALSE)</f>
        <v>0</v>
      </c>
      <c r="H198" t="b">
        <f>IF(IF(ISERROR(VLOOKUP(Tables[[#This Row],[ColumnName]],Table4[TechnicalName],1)),"NOTFOUND",VLOOKUP(Tables[[#This Row],[ColumnName]],Table4[TechnicalName],1))=Tables[[#This Row],[ColumnName]],TRUE,FALSE)</f>
        <v>0</v>
      </c>
      <c r="I19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199" spans="1:9" x14ac:dyDescent="0.25">
      <c r="A199" t="s">
        <v>39</v>
      </c>
      <c r="B199" t="s">
        <v>40</v>
      </c>
      <c r="C199" t="s">
        <v>137</v>
      </c>
      <c r="D199" t="s">
        <v>50</v>
      </c>
      <c r="E199" t="b">
        <f>IF(Tables[[#This Row],[ColumnType]]="Decimal",TRUE,FALSE)</f>
        <v>1</v>
      </c>
      <c r="F199" t="b">
        <f>VLOOKUP(Tables[[#This Row],[ColumnName]],Table5[#All],2)</f>
        <v>1</v>
      </c>
      <c r="G199" t="b">
        <f>IF(OR(Tables[IsCommonMetric]=TRUE,Tables[IsCommonField]=TRUE),TRUE,FALSE)</f>
        <v>1</v>
      </c>
      <c r="H199" t="b">
        <f>IF(IF(ISERROR(VLOOKUP(Tables[[#This Row],[ColumnName]],Table4[TechnicalName],1)),"NOTFOUND",VLOOKUP(Tables[[#This Row],[ColumnName]],Table4[TechnicalName],1))=Tables[[#This Row],[ColumnName]],TRUE,FALSE)</f>
        <v>1</v>
      </c>
      <c r="I199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0" spans="1:9" x14ac:dyDescent="0.25">
      <c r="A200" t="s">
        <v>39</v>
      </c>
      <c r="B200" t="s">
        <v>40</v>
      </c>
      <c r="C200" t="s">
        <v>138</v>
      </c>
      <c r="D200" t="s">
        <v>50</v>
      </c>
      <c r="E200" t="b">
        <f>IF(Tables[[#This Row],[ColumnType]]="Decimal",TRUE,FALSE)</f>
        <v>1</v>
      </c>
      <c r="F200" t="b">
        <f>VLOOKUP(Tables[[#This Row],[ColumnName]],Table5[#All],2)</f>
        <v>1</v>
      </c>
      <c r="G200" t="b">
        <f>IF(OR(Tables[IsCommonMetric]=TRUE,Tables[IsCommonField]=TRUE),TRUE,FALSE)</f>
        <v>0</v>
      </c>
      <c r="H200" t="b">
        <f>IF(IF(ISERROR(VLOOKUP(Tables[[#This Row],[ColumnName]],Table4[TechnicalName],1)),"NOTFOUND",VLOOKUP(Tables[[#This Row],[ColumnName]],Table4[TechnicalName],1))=Tables[[#This Row],[ColumnName]],TRUE,FALSE)</f>
        <v>0</v>
      </c>
      <c r="I20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1" spans="1:9" x14ac:dyDescent="0.25">
      <c r="A201" t="s">
        <v>39</v>
      </c>
      <c r="B201" t="s">
        <v>40</v>
      </c>
      <c r="C201" t="s">
        <v>153</v>
      </c>
      <c r="D201" t="s">
        <v>8</v>
      </c>
      <c r="E201" t="b">
        <f>IF(Tables[[#This Row],[ColumnType]]="Decimal",TRUE,FALSE)</f>
        <v>0</v>
      </c>
      <c r="F201" t="b">
        <f>VLOOKUP(Tables[[#This Row],[ColumnName]],Table5[#All],2)</f>
        <v>1</v>
      </c>
      <c r="G201" t="b">
        <f>IF(OR(Tables[IsCommonMetric]=TRUE,Tables[IsCommonField]=TRUE),TRUE,FALSE)</f>
        <v>0</v>
      </c>
      <c r="H201" t="b">
        <f>IF(VLOOKUP(Tables[[#This Row],[ColumnName]],Table4[TechnicalName],1)=Tables[[#This Row],[ColumnName]],TRUE,FALSE)</f>
        <v>0</v>
      </c>
      <c r="I20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2" spans="1:9" x14ac:dyDescent="0.25">
      <c r="A202" t="s">
        <v>39</v>
      </c>
      <c r="B202" t="s">
        <v>40</v>
      </c>
      <c r="C202" t="s">
        <v>184</v>
      </c>
      <c r="D202" t="s">
        <v>8</v>
      </c>
      <c r="E202" t="b">
        <f>IF(Tables[[#This Row],[ColumnType]]="Decimal",TRUE,FALSE)</f>
        <v>0</v>
      </c>
      <c r="F202" t="b">
        <f>VLOOKUP(Tables[[#This Row],[ColumnName]],Table5[#All],2)</f>
        <v>1</v>
      </c>
      <c r="G202" t="b">
        <f>IF(OR(Tables[IsCommonMetric]=TRUE,Tables[IsCommonField]=TRUE),TRUE,FALSE)</f>
        <v>0</v>
      </c>
      <c r="H202" t="b">
        <f>IF(VLOOKUP(Tables[[#This Row],[ColumnName]],Table4[TechnicalName],1)=Tables[[#This Row],[ColumnName]],TRUE,FALSE)</f>
        <v>0</v>
      </c>
      <c r="I202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3" spans="1:9" x14ac:dyDescent="0.25">
      <c r="A203" t="s">
        <v>39</v>
      </c>
      <c r="B203" t="s">
        <v>40</v>
      </c>
      <c r="C203" t="s">
        <v>172</v>
      </c>
      <c r="D203" t="s">
        <v>50</v>
      </c>
      <c r="E203" t="b">
        <f>IF(Tables[[#This Row],[ColumnType]]="Decimal",TRUE,FALSE)</f>
        <v>1</v>
      </c>
      <c r="F203" t="b">
        <f>VLOOKUP(Tables[[#This Row],[ColumnName]],Table5[#All],2)</f>
        <v>1</v>
      </c>
      <c r="G203" t="b">
        <f>IF(OR(Tables[IsCommonMetric]=TRUE,Tables[IsCommonField]=TRUE),TRUE,FALSE)</f>
        <v>0</v>
      </c>
      <c r="H203" t="b">
        <f>IF(IF(ISERROR(VLOOKUP(Tables[[#This Row],[ColumnName]],Table4[TechnicalName],1)),"NOTFOUND",VLOOKUP(Tables[[#This Row],[ColumnName]],Table4[TechnicalName],1))=Tables[[#This Row],[ColumnName]],TRUE,FALSE)</f>
        <v>0</v>
      </c>
      <c r="I203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4" spans="1:9" x14ac:dyDescent="0.25">
      <c r="A204" t="s">
        <v>39</v>
      </c>
      <c r="B204" t="s">
        <v>40</v>
      </c>
      <c r="C204" t="s">
        <v>173</v>
      </c>
      <c r="D204" t="s">
        <v>50</v>
      </c>
      <c r="E204" t="b">
        <f>IF(Tables[[#This Row],[ColumnType]]="Decimal",TRUE,FALSE)</f>
        <v>1</v>
      </c>
      <c r="F204" t="b">
        <f>VLOOKUP(Tables[[#This Row],[ColumnName]],Table5[#All],2)</f>
        <v>1</v>
      </c>
      <c r="G204" t="b">
        <f>IF(OR(Tables[IsCommonMetric]=TRUE,Tables[IsCommonField]=TRUE),TRUE,FALSE)</f>
        <v>0</v>
      </c>
      <c r="H204" t="b">
        <f>IF(IF(ISERROR(VLOOKUP(Tables[[#This Row],[ColumnName]],Table4[TechnicalName],1)),"NOTFOUND",VLOOKUP(Tables[[#This Row],[ColumnName]],Table4[TechnicalName],1))=Tables[[#This Row],[ColumnName]],TRUE,FALSE)</f>
        <v>0</v>
      </c>
      <c r="I204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5" spans="1:9" x14ac:dyDescent="0.25">
      <c r="A205" t="s">
        <v>39</v>
      </c>
      <c r="B205" t="s">
        <v>40</v>
      </c>
      <c r="C205" t="s">
        <v>180</v>
      </c>
      <c r="D205" t="s">
        <v>50</v>
      </c>
      <c r="E205" t="b">
        <f>IF(Tables[[#This Row],[ColumnType]]="Decimal",TRUE,FALSE)</f>
        <v>1</v>
      </c>
      <c r="F205" t="b">
        <f>VLOOKUP(Tables[[#This Row],[ColumnName]],Table5[#All],2)</f>
        <v>0</v>
      </c>
      <c r="G205" t="b">
        <f>IF(OR(Tables[IsCommonMetric]=TRUE,Tables[IsCommonField]=TRUE),TRUE,FALSE)</f>
        <v>1</v>
      </c>
      <c r="H205" t="b">
        <f>IF(IF(ISERROR(VLOOKUP(Tables[[#This Row],[ColumnName]],Table4[TechnicalName],1)),"NOTFOUND",VLOOKUP(Tables[[#This Row],[ColumnName]],Table4[TechnicalName],1))=Tables[[#This Row],[ColumnName]],TRUE,FALSE)</f>
        <v>1</v>
      </c>
      <c r="I205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6" spans="1:9" x14ac:dyDescent="0.25">
      <c r="A206" t="s">
        <v>39</v>
      </c>
      <c r="B206" t="s">
        <v>40</v>
      </c>
      <c r="C206" t="s">
        <v>183</v>
      </c>
      <c r="D206" t="s">
        <v>8</v>
      </c>
      <c r="E206" t="b">
        <f>IF(Tables[[#This Row],[ColumnType]]="Decimal",TRUE,FALSE)</f>
        <v>0</v>
      </c>
      <c r="F206" t="b">
        <f>VLOOKUP(Tables[[#This Row],[ColumnName]],Table5[#All],2)</f>
        <v>0</v>
      </c>
      <c r="G206" t="b">
        <f>IF(OR(Tables[IsCommonMetric]=TRUE,Tables[IsCommonField]=TRUE),TRUE,FALSE)</f>
        <v>0</v>
      </c>
      <c r="H206" t="b">
        <f>IF(VLOOKUP(Tables[[#This Row],[ColumnName]],Table4[TechnicalName],1)=Tables[[#This Row],[ColumnName]],TRUE,FALSE)</f>
        <v>0</v>
      </c>
      <c r="I206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7" spans="1:9" x14ac:dyDescent="0.25">
      <c r="A207" t="s">
        <v>39</v>
      </c>
      <c r="B207" t="s">
        <v>40</v>
      </c>
      <c r="C207" t="s">
        <v>133</v>
      </c>
      <c r="D207" t="s">
        <v>50</v>
      </c>
      <c r="E207" t="b">
        <f>IF(Tables[[#This Row],[ColumnType]]="Decimal",TRUE,FALSE)</f>
        <v>1</v>
      </c>
      <c r="F207" t="b">
        <f>VLOOKUP(Tables[[#This Row],[ColumnName]],Table5[#All],2)</f>
        <v>1</v>
      </c>
      <c r="G207" t="b">
        <f>IF(OR(Tables[IsCommonMetric]=TRUE,Tables[IsCommonField]=TRUE),TRUE,FALSE)</f>
        <v>0</v>
      </c>
      <c r="H207" t="b">
        <f>IF(IF(ISERROR(VLOOKUP(Tables[[#This Row],[ColumnName]],Table4[TechnicalName],1)),"NOTFOUND",VLOOKUP(Tables[[#This Row],[ColumnName]],Table4[TechnicalName],1))=Tables[[#This Row],[ColumnName]],TRUE,FALSE)</f>
        <v>0</v>
      </c>
      <c r="I207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8" spans="1:9" x14ac:dyDescent="0.25">
      <c r="A208" t="s">
        <v>39</v>
      </c>
      <c r="B208" t="s">
        <v>40</v>
      </c>
      <c r="C208" t="s">
        <v>134</v>
      </c>
      <c r="D208" t="s">
        <v>50</v>
      </c>
      <c r="E208" t="b">
        <f>IF(Tables[[#This Row],[ColumnType]]="Decimal",TRUE,FALSE)</f>
        <v>1</v>
      </c>
      <c r="F208" t="b">
        <f>VLOOKUP(Tables[[#This Row],[ColumnName]],Table5[#All],2)</f>
        <v>1</v>
      </c>
      <c r="G208" t="b">
        <f>IF(OR(Tables[IsCommonMetric]=TRUE,Tables[IsCommonField]=TRUE),TRUE,FALSE)</f>
        <v>0</v>
      </c>
      <c r="H208" t="b">
        <f>IF(IF(ISERROR(VLOOKUP(Tables[[#This Row],[ColumnName]],Table4[TechnicalName],1)),"NOTFOUND",VLOOKUP(Tables[[#This Row],[ColumnName]],Table4[TechnicalName],1))=Tables[[#This Row],[ColumnName]],TRUE,FALSE)</f>
        <v>0</v>
      </c>
      <c r="I208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09" spans="1:9" x14ac:dyDescent="0.25">
      <c r="A209" t="s">
        <v>39</v>
      </c>
      <c r="B209" t="s">
        <v>40</v>
      </c>
      <c r="C209" t="s">
        <v>97</v>
      </c>
      <c r="D209" t="s">
        <v>8</v>
      </c>
      <c r="E209" t="b">
        <f>IF(Tables[[#This Row],[ColumnType]]="Decimal",TRUE,FALSE)</f>
        <v>0</v>
      </c>
      <c r="F209" t="b">
        <f>VLOOKUP(Tables[[#This Row],[ColumnName]],Table5[#All],2)</f>
        <v>1</v>
      </c>
      <c r="G209" t="b">
        <f>IF(OR(Tables[IsCommonMetric]=TRUE,Tables[IsCommonField]=TRUE),TRUE,FALSE)</f>
        <v>1</v>
      </c>
      <c r="H209" t="b">
        <f>IF(VLOOKUP(Tables[[#This Row],[ColumnName]],Table4[TechnicalName],1)=Tables[[#This Row],[ColumnName]],TRUE,FALSE)</f>
        <v>0</v>
      </c>
      <c r="I209" s="8" t="b">
        <f>IF(IF(ISERROR(VLOOKUP(Tables[[#This Row],[ColumnName]],Table3[TechnicalName],1)),"NOTFOUND",VLOOKUP(Tables[[#This Row],[ColumnName]],Table3[TechnicalName],1))=Tables[[#This Row],[ColumnName]],TRUE,FALSE)</f>
        <v>1</v>
      </c>
    </row>
    <row r="210" spans="1:9" x14ac:dyDescent="0.25">
      <c r="A210" t="s">
        <v>39</v>
      </c>
      <c r="B210" t="s">
        <v>40</v>
      </c>
      <c r="C210" t="s">
        <v>190</v>
      </c>
      <c r="D210" t="s">
        <v>8</v>
      </c>
      <c r="E210" t="b">
        <f>IF(Tables[[#This Row],[ColumnType]]="Decimal",TRUE,FALSE)</f>
        <v>0</v>
      </c>
      <c r="F210" t="b">
        <f>VLOOKUP(Tables[[#This Row],[ColumnName]],Table5[#All],2)</f>
        <v>1</v>
      </c>
      <c r="G210" t="b">
        <f>IF(OR(Tables[IsCommonMetric]=TRUE,Tables[IsCommonField]=TRUE),TRUE,FALSE)</f>
        <v>0</v>
      </c>
      <c r="H210" t="b">
        <f>IF(VLOOKUP(Tables[[#This Row],[ColumnName]],Table4[TechnicalName],1)=Tables[[#This Row],[ColumnName]],TRUE,FALSE)</f>
        <v>0</v>
      </c>
      <c r="I210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11" spans="1:9" x14ac:dyDescent="0.25">
      <c r="A211" t="s">
        <v>39</v>
      </c>
      <c r="B211" t="s">
        <v>40</v>
      </c>
      <c r="C211" t="s">
        <v>189</v>
      </c>
      <c r="D211" t="s">
        <v>8</v>
      </c>
      <c r="E211" t="b">
        <f>IF(Tables[[#This Row],[ColumnType]]="Decimal",TRUE,FALSE)</f>
        <v>0</v>
      </c>
      <c r="F211" t="b">
        <f>VLOOKUP(Tables[[#This Row],[ColumnName]],Table5[#All],2)</f>
        <v>1</v>
      </c>
      <c r="G211" t="b">
        <f>IF(OR(Tables[IsCommonMetric]=TRUE,Tables[IsCommonField]=TRUE),TRUE,FALSE)</f>
        <v>0</v>
      </c>
      <c r="H211" t="b">
        <f>IF(VLOOKUP(Tables[[#This Row],[ColumnName]],Table4[TechnicalName],1)=Tables[[#This Row],[ColumnName]],TRUE,FALSE)</f>
        <v>0</v>
      </c>
      <c r="I211" s="8" t="b">
        <f>IF(IF(ISERROR(VLOOKUP(Tables[[#This Row],[ColumnName]],Table3[TechnicalName],1)),"NOTFOUND",VLOOKUP(Tables[[#This Row],[ColumnName]],Table3[TechnicalName],1))=Tables[[#This Row],[ColumnName]],TRUE,FALSE)</f>
        <v>0</v>
      </c>
    </row>
    <row r="212" spans="1:9" x14ac:dyDescent="0.25">
      <c r="A212" t="s">
        <v>39</v>
      </c>
      <c r="B212" t="s">
        <v>40</v>
      </c>
      <c r="C212" t="s">
        <v>162</v>
      </c>
      <c r="D212" t="s">
        <v>29</v>
      </c>
      <c r="E212" t="b">
        <f>IF(Tables[[#This Row],[ColumnType]]="Decimal",TRUE,FALSE)</f>
        <v>0</v>
      </c>
      <c r="F212" t="b">
        <f>VLOOKUP(Tables[[#This Row],[ColumnName]],Table5[#All],2)</f>
        <v>1</v>
      </c>
      <c r="G212" t="b">
        <f>IF(OR(Tables[IsCommonMetric]=TRUE,Tables[IsCommonField]=TRUE),TRUE,FALSE)</f>
        <v>0</v>
      </c>
      <c r="H212" t="b">
        <f>IF(VLOOKUP(Tables[[#This Row],[ColumnName]],Table4[TechnicalName],1)=Tables[[#This Row],[ColumnName]],TRUE,FALSE)</f>
        <v>0</v>
      </c>
      <c r="I212" s="8" t="b">
        <f>IF(IF(ISERROR(VLOOKUP(Tables[[#This Row],[ColumnName]],Table3[TechnicalName],1)),"NOTFOUND",VLOOKUP(Tables[[#This Row],[ColumnName]],Table3[TechnicalName],1))=Tables[[#This Row],[ColumnName]],TRUE,FALSE)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06E61-573B-46F1-8E0C-781711656127}">
  <dimension ref="A1:H66"/>
  <sheetViews>
    <sheetView topLeftCell="A2" workbookViewId="0">
      <selection activeCell="A2" sqref="A2:B20"/>
    </sheetView>
  </sheetViews>
  <sheetFormatPr defaultRowHeight="15" x14ac:dyDescent="0.25"/>
  <cols>
    <col min="1" max="1" width="16.7109375" bestFit="1" customWidth="1"/>
    <col min="2" max="2" width="16.7109375" customWidth="1"/>
    <col min="4" max="4" width="20.42578125" bestFit="1" customWidth="1"/>
    <col min="5" max="5" width="20.140625" bestFit="1" customWidth="1"/>
    <col min="7" max="7" width="22.42578125" bestFit="1" customWidth="1"/>
    <col min="8" max="8" width="12.5703125" bestFit="1" customWidth="1"/>
  </cols>
  <sheetData>
    <row r="1" spans="1:8" x14ac:dyDescent="0.25">
      <c r="A1" t="s">
        <v>218</v>
      </c>
      <c r="B1" s="7" t="s">
        <v>237</v>
      </c>
      <c r="D1" t="s">
        <v>235</v>
      </c>
      <c r="E1" t="s">
        <v>237</v>
      </c>
      <c r="G1" t="s">
        <v>236</v>
      </c>
      <c r="H1" t="s">
        <v>201</v>
      </c>
    </row>
    <row r="2" spans="1:8" x14ac:dyDescent="0.25">
      <c r="A2" s="1" t="s">
        <v>203</v>
      </c>
      <c r="B2" s="5" t="str">
        <f>LOWER(Table3[[#This Row],[CommonFields]])</f>
        <v>brand1</v>
      </c>
      <c r="D2" s="1" t="s">
        <v>219</v>
      </c>
      <c r="E2" s="3" t="str">
        <f>LOWER(Table4[[#This Row],[CommonMetrics]])</f>
        <v>addedvalue</v>
      </c>
      <c r="G2" t="s">
        <v>147</v>
      </c>
      <c r="H2" t="b">
        <v>1</v>
      </c>
    </row>
    <row r="3" spans="1:8" x14ac:dyDescent="0.25">
      <c r="A3" s="1" t="s">
        <v>204</v>
      </c>
      <c r="B3" s="4" t="str">
        <f>LOWER(Table3[[#This Row],[CommonFields]])</f>
        <v>brand2</v>
      </c>
      <c r="D3" s="1" t="s">
        <v>220</v>
      </c>
      <c r="E3" s="1" t="str">
        <f>LOWER(Table4[[#This Row],[CommonMetrics]])</f>
        <v>adserving</v>
      </c>
      <c r="G3" t="s">
        <v>148</v>
      </c>
      <c r="H3" t="b">
        <v>1</v>
      </c>
    </row>
    <row r="4" spans="1:8" x14ac:dyDescent="0.25">
      <c r="A4" s="1" t="s">
        <v>205</v>
      </c>
      <c r="B4" s="4" t="str">
        <f>LOWER(Table3[[#This Row],[CommonFields]])</f>
        <v>brand3</v>
      </c>
      <c r="D4" s="1" t="s">
        <v>118</v>
      </c>
      <c r="E4" s="1" t="str">
        <f>LOWER(Table4[[#This Row],[CommonMetrics]])</f>
        <v>commission</v>
      </c>
      <c r="G4" t="s">
        <v>141</v>
      </c>
      <c r="H4" t="b">
        <v>1</v>
      </c>
    </row>
    <row r="5" spans="1:8" x14ac:dyDescent="0.25">
      <c r="A5" s="1" t="s">
        <v>206</v>
      </c>
      <c r="B5" s="4" t="str">
        <f>LOWER(Table3[[#This Row],[CommonFields]])</f>
        <v>campaign</v>
      </c>
      <c r="D5" s="1" t="s">
        <v>221</v>
      </c>
      <c r="E5" s="1" t="str">
        <f>LOWER(Table4[[#This Row],[CommonMetrics]])</f>
        <v>creativecost</v>
      </c>
      <c r="G5" t="s">
        <v>142</v>
      </c>
      <c r="H5" t="b">
        <v>1</v>
      </c>
    </row>
    <row r="6" spans="1:8" x14ac:dyDescent="0.25">
      <c r="A6" s="1" t="s">
        <v>207</v>
      </c>
      <c r="B6" s="4" t="str">
        <f>LOWER(Table3[[#This Row],[CommonFields]])</f>
        <v>campaignname</v>
      </c>
      <c r="D6" s="1" t="s">
        <v>222</v>
      </c>
      <c r="E6" s="1" t="str">
        <f>LOWER(Table4[[#This Row],[CommonMetrics]])</f>
        <v>eqgrps</v>
      </c>
      <c r="G6" t="s">
        <v>109</v>
      </c>
      <c r="H6" t="b">
        <v>1</v>
      </c>
    </row>
    <row r="7" spans="1:8" x14ac:dyDescent="0.25">
      <c r="A7" s="1" t="s">
        <v>216</v>
      </c>
      <c r="B7" s="4" t="str">
        <f>LOWER(Table3[[#This Row],[CommonFields]])</f>
        <v>campaignscope</v>
      </c>
      <c r="D7" s="1" t="s">
        <v>223</v>
      </c>
      <c r="E7" s="1" t="str">
        <f>LOWER(Table4[[#This Row],[CommonMetrics]])</f>
        <v>frequencyfloat</v>
      </c>
      <c r="G7" t="s">
        <v>110</v>
      </c>
      <c r="H7" t="b">
        <v>1</v>
      </c>
    </row>
    <row r="8" spans="1:8" x14ac:dyDescent="0.25">
      <c r="A8" s="1" t="s">
        <v>42</v>
      </c>
      <c r="B8" s="4" t="str">
        <f>LOWER(Table3[[#This Row],[CommonFields]])</f>
        <v>channel</v>
      </c>
      <c r="D8" s="1" t="s">
        <v>224</v>
      </c>
      <c r="E8" s="1" t="str">
        <f>LOWER(Table4[[#This Row],[CommonMetrics]])</f>
        <v>grossmedia</v>
      </c>
      <c r="G8" t="s">
        <v>114</v>
      </c>
      <c r="H8" t="b">
        <v>1</v>
      </c>
    </row>
    <row r="9" spans="1:8" x14ac:dyDescent="0.25">
      <c r="A9" s="1" t="s">
        <v>208</v>
      </c>
      <c r="B9" s="4" t="str">
        <f>LOWER(Table3[[#This Row],[CommonFields]])</f>
        <v>channelsubtype</v>
      </c>
      <c r="D9" s="1" t="s">
        <v>163</v>
      </c>
      <c r="E9" s="1" t="str">
        <f>LOWER(Table4[[#This Row],[CommonMetrics]])</f>
        <v>grps</v>
      </c>
      <c r="G9" t="s">
        <v>115</v>
      </c>
      <c r="H9" t="b">
        <v>1</v>
      </c>
    </row>
    <row r="10" spans="1:8" x14ac:dyDescent="0.25">
      <c r="A10" s="1" t="s">
        <v>209</v>
      </c>
      <c r="B10" s="4" t="str">
        <f>LOWER(Table3[[#This Row],[CommonFields]])</f>
        <v>channeltype</v>
      </c>
      <c r="D10" s="1" t="s">
        <v>98</v>
      </c>
      <c r="E10" s="1" t="str">
        <f>LOWER(Table4[[#This Row],[CommonMetrics]])</f>
        <v>impressions</v>
      </c>
      <c r="G10" t="s">
        <v>197</v>
      </c>
      <c r="H10" t="b">
        <v>1</v>
      </c>
    </row>
    <row r="11" spans="1:8" x14ac:dyDescent="0.25">
      <c r="A11" s="1" t="s">
        <v>168</v>
      </c>
      <c r="B11" s="4" t="str">
        <f>LOWER(Table3[[#This Row],[CommonFields]])</f>
        <v>ethnicity</v>
      </c>
      <c r="D11" s="1" t="s">
        <v>225</v>
      </c>
      <c r="E11" s="1" t="str">
        <f>LOWER(Table4[[#This Row],[CommonMetrics]])</f>
        <v>medialevycost</v>
      </c>
      <c r="G11" t="s">
        <v>103</v>
      </c>
      <c r="H11" t="b">
        <v>1</v>
      </c>
    </row>
    <row r="12" spans="1:8" x14ac:dyDescent="0.25">
      <c r="A12" s="1" t="s">
        <v>210</v>
      </c>
      <c r="B12" s="4" t="str">
        <f>LOWER(Table3[[#This Row],[CommonFields]])</f>
        <v>fundingsource</v>
      </c>
      <c r="D12" s="1" t="s">
        <v>226</v>
      </c>
      <c r="E12" s="1" t="str">
        <f>LOWER(Table4[[#This Row],[CommonMetrics]])</f>
        <v>netmedia</v>
      </c>
      <c r="G12" t="s">
        <v>104</v>
      </c>
      <c r="H12" t="b">
        <v>1</v>
      </c>
    </row>
    <row r="13" spans="1:8" x14ac:dyDescent="0.25">
      <c r="A13" s="1" t="s">
        <v>211</v>
      </c>
      <c r="B13" s="4" t="str">
        <f>LOWER(Table3[[#This Row],[CommonFields]])</f>
        <v>funnel</v>
      </c>
      <c r="D13" s="1" t="s">
        <v>227</v>
      </c>
      <c r="E13" s="1" t="str">
        <f>LOWER(Table4[[#This Row],[CommonMetrics]])</f>
        <v>nonworkingspend</v>
      </c>
      <c r="G13" t="s">
        <v>105</v>
      </c>
      <c r="H13" t="b">
        <v>1</v>
      </c>
    </row>
    <row r="14" spans="1:8" x14ac:dyDescent="0.25">
      <c r="A14" s="1" t="s">
        <v>212</v>
      </c>
      <c r="B14" s="4" t="str">
        <f>LOWER(Table3[[#This Row],[CommonFields]])</f>
        <v>localchannel</v>
      </c>
      <c r="D14" s="1" t="s">
        <v>111</v>
      </c>
      <c r="E14" s="1" t="str">
        <f>LOWER(Table4[[#This Row],[CommonMetrics]])</f>
        <v>production</v>
      </c>
      <c r="G14" t="s">
        <v>106</v>
      </c>
      <c r="H14" t="b">
        <v>1</v>
      </c>
    </row>
    <row r="15" spans="1:8" x14ac:dyDescent="0.25">
      <c r="A15" s="1" t="s">
        <v>213</v>
      </c>
      <c r="B15" s="4" t="str">
        <f>LOWER(Table3[[#This Row],[CommonFields]])</f>
        <v>marketname</v>
      </c>
      <c r="D15" s="1" t="s">
        <v>228</v>
      </c>
      <c r="E15" s="1" t="str">
        <f>LOWER(Table4[[#This Row],[CommonMetrics]])</f>
        <v>reachfloat</v>
      </c>
      <c r="G15" t="s">
        <v>131</v>
      </c>
      <c r="H15" t="b">
        <v>1</v>
      </c>
    </row>
    <row r="16" spans="1:8" x14ac:dyDescent="0.25">
      <c r="A16" s="1" t="s">
        <v>214</v>
      </c>
      <c r="B16" s="4" t="str">
        <f>LOWER(Table3[[#This Row],[CommonFields]])</f>
        <v>planstatus</v>
      </c>
      <c r="D16" s="1" t="s">
        <v>229</v>
      </c>
      <c r="E16" s="1" t="str">
        <f>LOWER(Table4[[#This Row],[CommonMetrics]])</f>
        <v>totalclient</v>
      </c>
      <c r="G16" t="s">
        <v>132</v>
      </c>
      <c r="H16" t="b">
        <v>1</v>
      </c>
    </row>
    <row r="17" spans="1:8" x14ac:dyDescent="0.25">
      <c r="A17" s="1" t="s">
        <v>215</v>
      </c>
      <c r="B17" s="4" t="str">
        <f>LOWER(Table3[[#This Row],[CommonFields]])</f>
        <v>po</v>
      </c>
      <c r="D17" s="1" t="s">
        <v>230</v>
      </c>
      <c r="E17" s="1" t="str">
        <f>LOWER(Table4[[#This Row],[CommonMetrics]])</f>
        <v>totalfees</v>
      </c>
      <c r="G17" t="s">
        <v>49</v>
      </c>
      <c r="H17" t="b">
        <v>1</v>
      </c>
    </row>
    <row r="18" spans="1:8" x14ac:dyDescent="0.25">
      <c r="A18" s="1" t="s">
        <v>217</v>
      </c>
      <c r="B18" s="4" t="str">
        <f>LOWER(Table3[[#This Row],[CommonFields]])</f>
        <v>subchannel</v>
      </c>
      <c r="D18" s="1" t="s">
        <v>231</v>
      </c>
      <c r="E18" s="1" t="str">
        <f>LOWER(Table4[[#This Row],[CommonMetrics]])</f>
        <v>totaltax</v>
      </c>
      <c r="G18" t="s">
        <v>51</v>
      </c>
      <c r="H18" t="b">
        <v>1</v>
      </c>
    </row>
    <row r="19" spans="1:8" x14ac:dyDescent="0.25">
      <c r="A19" s="1" t="s">
        <v>76</v>
      </c>
      <c r="B19" s="4" t="str">
        <f>LOWER(Table3[[#This Row],[CommonFields]])</f>
        <v>supplier</v>
      </c>
      <c r="D19" s="1" t="s">
        <v>232</v>
      </c>
      <c r="E19" s="1" t="str">
        <f>LOWER(Table4[[#This Row],[CommonMetrics]])</f>
        <v>trps</v>
      </c>
      <c r="G19" t="s">
        <v>119</v>
      </c>
      <c r="H19" t="b">
        <v>1</v>
      </c>
    </row>
    <row r="20" spans="1:8" x14ac:dyDescent="0.25">
      <c r="A20" s="2" t="s">
        <v>96</v>
      </c>
      <c r="B20" s="6" t="str">
        <f>LOWER(Table3[[#This Row],[CommonFields]])</f>
        <v>vehicle</v>
      </c>
      <c r="D20" s="1" t="s">
        <v>179</v>
      </c>
      <c r="E20" s="1" t="str">
        <f>LOWER(Table4[[#This Row],[CommonMetrics]])</f>
        <v>units</v>
      </c>
      <c r="G20" t="s">
        <v>135</v>
      </c>
      <c r="H20" t="b">
        <v>1</v>
      </c>
    </row>
    <row r="21" spans="1:8" x14ac:dyDescent="0.25">
      <c r="D21" s="1" t="s">
        <v>233</v>
      </c>
      <c r="E21" s="1" t="str">
        <f>LOWER(Table4[[#This Row],[CommonMetrics]])</f>
        <v>viewableimpressions</v>
      </c>
      <c r="G21" t="s">
        <v>175</v>
      </c>
      <c r="H21" t="b">
        <v>0</v>
      </c>
    </row>
    <row r="22" spans="1:8" x14ac:dyDescent="0.25">
      <c r="D22" s="2" t="s">
        <v>234</v>
      </c>
      <c r="E22" s="2" t="str">
        <f>LOWER(Table4[[#This Row],[CommonMetrics]])</f>
        <v>workingspend</v>
      </c>
      <c r="G22" t="s">
        <v>195</v>
      </c>
      <c r="H22" t="b">
        <v>0</v>
      </c>
    </row>
    <row r="23" spans="1:8" x14ac:dyDescent="0.25">
      <c r="G23" t="s">
        <v>176</v>
      </c>
      <c r="H23" t="b">
        <v>1</v>
      </c>
    </row>
    <row r="24" spans="1:8" x14ac:dyDescent="0.25">
      <c r="G24" t="s">
        <v>177</v>
      </c>
      <c r="H24" t="b">
        <v>1</v>
      </c>
    </row>
    <row r="25" spans="1:8" x14ac:dyDescent="0.25">
      <c r="G25" t="s">
        <v>164</v>
      </c>
      <c r="H25" t="b">
        <v>0</v>
      </c>
    </row>
    <row r="26" spans="1:8" x14ac:dyDescent="0.25">
      <c r="G26" t="s">
        <v>99</v>
      </c>
      <c r="H26" t="b">
        <v>0</v>
      </c>
    </row>
    <row r="27" spans="1:8" x14ac:dyDescent="0.25">
      <c r="G27" t="s">
        <v>72</v>
      </c>
      <c r="H27" t="b">
        <v>1</v>
      </c>
    </row>
    <row r="28" spans="1:8" x14ac:dyDescent="0.25">
      <c r="G28" t="s">
        <v>73</v>
      </c>
      <c r="H28" t="b">
        <v>1</v>
      </c>
    </row>
    <row r="29" spans="1:8" x14ac:dyDescent="0.25">
      <c r="G29" t="s">
        <v>125</v>
      </c>
      <c r="H29" t="b">
        <v>1</v>
      </c>
    </row>
    <row r="30" spans="1:8" x14ac:dyDescent="0.25">
      <c r="G30" t="s">
        <v>126</v>
      </c>
      <c r="H30" t="b">
        <v>1</v>
      </c>
    </row>
    <row r="31" spans="1:8" x14ac:dyDescent="0.25">
      <c r="G31" t="s">
        <v>127</v>
      </c>
      <c r="H31" t="b">
        <v>1</v>
      </c>
    </row>
    <row r="32" spans="1:8" x14ac:dyDescent="0.25">
      <c r="G32" t="s">
        <v>128</v>
      </c>
      <c r="H32" t="b">
        <v>1</v>
      </c>
    </row>
    <row r="33" spans="7:8" x14ac:dyDescent="0.25">
      <c r="G33" t="s">
        <v>129</v>
      </c>
      <c r="H33" t="b">
        <v>1</v>
      </c>
    </row>
    <row r="34" spans="7:8" x14ac:dyDescent="0.25">
      <c r="G34" t="s">
        <v>130</v>
      </c>
      <c r="H34" t="b">
        <v>1</v>
      </c>
    </row>
    <row r="35" spans="7:8" x14ac:dyDescent="0.25">
      <c r="G35" t="s">
        <v>121</v>
      </c>
      <c r="H35" t="b">
        <v>1</v>
      </c>
    </row>
    <row r="36" spans="7:8" x14ac:dyDescent="0.25">
      <c r="G36" t="s">
        <v>122</v>
      </c>
      <c r="H36" t="b">
        <v>1</v>
      </c>
    </row>
    <row r="37" spans="7:8" x14ac:dyDescent="0.25">
      <c r="G37" t="s">
        <v>101</v>
      </c>
      <c r="H37" t="b">
        <v>1</v>
      </c>
    </row>
    <row r="38" spans="7:8" x14ac:dyDescent="0.25">
      <c r="G38" t="s">
        <v>102</v>
      </c>
      <c r="H38" t="b">
        <v>1</v>
      </c>
    </row>
    <row r="39" spans="7:8" x14ac:dyDescent="0.25">
      <c r="G39" t="s">
        <v>107</v>
      </c>
      <c r="H39" t="b">
        <v>1</v>
      </c>
    </row>
    <row r="40" spans="7:8" x14ac:dyDescent="0.25">
      <c r="G40" t="s">
        <v>108</v>
      </c>
      <c r="H40" t="b">
        <v>1</v>
      </c>
    </row>
    <row r="41" spans="7:8" x14ac:dyDescent="0.25">
      <c r="G41" t="s">
        <v>145</v>
      </c>
      <c r="H41" t="b">
        <v>1</v>
      </c>
    </row>
    <row r="42" spans="7:8" x14ac:dyDescent="0.25">
      <c r="G42" t="s">
        <v>146</v>
      </c>
      <c r="H42" t="b">
        <v>1</v>
      </c>
    </row>
    <row r="43" spans="7:8" x14ac:dyDescent="0.25">
      <c r="G43" t="s">
        <v>139</v>
      </c>
      <c r="H43" t="b">
        <v>1</v>
      </c>
    </row>
    <row r="44" spans="7:8" x14ac:dyDescent="0.25">
      <c r="G44" t="s">
        <v>140</v>
      </c>
      <c r="H44" t="b">
        <v>1</v>
      </c>
    </row>
    <row r="45" spans="7:8" x14ac:dyDescent="0.25">
      <c r="G45" t="s">
        <v>170</v>
      </c>
      <c r="H45" t="b">
        <v>0</v>
      </c>
    </row>
    <row r="46" spans="7:8" x14ac:dyDescent="0.25">
      <c r="G46" t="s">
        <v>123</v>
      </c>
      <c r="H46" t="b">
        <v>1</v>
      </c>
    </row>
    <row r="47" spans="7:8" x14ac:dyDescent="0.25">
      <c r="G47" t="s">
        <v>124</v>
      </c>
      <c r="H47" t="b">
        <v>1</v>
      </c>
    </row>
    <row r="48" spans="7:8" x14ac:dyDescent="0.25">
      <c r="G48" t="s">
        <v>112</v>
      </c>
      <c r="H48" t="b">
        <v>1</v>
      </c>
    </row>
    <row r="49" spans="7:8" x14ac:dyDescent="0.25">
      <c r="G49" t="s">
        <v>113</v>
      </c>
      <c r="H49" t="b">
        <v>1</v>
      </c>
    </row>
    <row r="50" spans="7:8" x14ac:dyDescent="0.25">
      <c r="G50" t="s">
        <v>196</v>
      </c>
      <c r="H50" t="b">
        <v>0</v>
      </c>
    </row>
    <row r="51" spans="7:8" x14ac:dyDescent="0.25">
      <c r="G51" t="s">
        <v>174</v>
      </c>
      <c r="H51" t="b">
        <v>0</v>
      </c>
    </row>
    <row r="52" spans="7:8" x14ac:dyDescent="0.25">
      <c r="G52" t="s">
        <v>165</v>
      </c>
      <c r="H52" t="b">
        <v>1</v>
      </c>
    </row>
    <row r="53" spans="7:8" x14ac:dyDescent="0.25">
      <c r="G53" t="s">
        <v>166</v>
      </c>
      <c r="H53" t="b">
        <v>1</v>
      </c>
    </row>
    <row r="54" spans="7:8" x14ac:dyDescent="0.25">
      <c r="G54" t="s">
        <v>149</v>
      </c>
      <c r="H54" t="b">
        <v>1</v>
      </c>
    </row>
    <row r="55" spans="7:8" x14ac:dyDescent="0.25">
      <c r="G55" t="s">
        <v>150</v>
      </c>
      <c r="H55" t="b">
        <v>1</v>
      </c>
    </row>
    <row r="56" spans="7:8" x14ac:dyDescent="0.25">
      <c r="G56" t="s">
        <v>116</v>
      </c>
      <c r="H56" t="b">
        <v>1</v>
      </c>
    </row>
    <row r="57" spans="7:8" x14ac:dyDescent="0.25">
      <c r="G57" t="s">
        <v>117</v>
      </c>
      <c r="H57" t="b">
        <v>1</v>
      </c>
    </row>
    <row r="58" spans="7:8" x14ac:dyDescent="0.25">
      <c r="G58" t="s">
        <v>143</v>
      </c>
      <c r="H58" t="b">
        <v>1</v>
      </c>
    </row>
    <row r="59" spans="7:8" x14ac:dyDescent="0.25">
      <c r="G59" t="s">
        <v>144</v>
      </c>
      <c r="H59" t="b">
        <v>1</v>
      </c>
    </row>
    <row r="60" spans="7:8" x14ac:dyDescent="0.25">
      <c r="G60" t="s">
        <v>137</v>
      </c>
      <c r="H60" t="b">
        <v>1</v>
      </c>
    </row>
    <row r="61" spans="7:8" x14ac:dyDescent="0.25">
      <c r="G61" t="s">
        <v>138</v>
      </c>
      <c r="H61" t="b">
        <v>1</v>
      </c>
    </row>
    <row r="62" spans="7:8" x14ac:dyDescent="0.25">
      <c r="G62" t="s">
        <v>172</v>
      </c>
      <c r="H62" t="b">
        <v>1</v>
      </c>
    </row>
    <row r="63" spans="7:8" x14ac:dyDescent="0.25">
      <c r="G63" t="s">
        <v>173</v>
      </c>
      <c r="H63" t="b">
        <v>1</v>
      </c>
    </row>
    <row r="64" spans="7:8" x14ac:dyDescent="0.25">
      <c r="G64" t="s">
        <v>180</v>
      </c>
      <c r="H64" t="b">
        <v>0</v>
      </c>
    </row>
    <row r="65" spans="7:8" x14ac:dyDescent="0.25">
      <c r="G65" t="s">
        <v>133</v>
      </c>
      <c r="H65" t="b">
        <v>1</v>
      </c>
    </row>
    <row r="66" spans="7:8" x14ac:dyDescent="0.25">
      <c r="G66" t="s">
        <v>134</v>
      </c>
      <c r="H66" t="b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9A8D2D-703A-4F50-8D06-DC89AD711C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Mechelke</dc:creator>
  <cp:lastModifiedBy>Thomas Mechelke</cp:lastModifiedBy>
  <dcterms:created xsi:type="dcterms:W3CDTF">2023-02-03T02:34:07Z</dcterms:created>
  <dcterms:modified xsi:type="dcterms:W3CDTF">2023-02-09T13:00:21Z</dcterms:modified>
</cp:coreProperties>
</file>